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hD proposal defense\Mucald Paper\"/>
    </mc:Choice>
  </mc:AlternateContent>
  <xr:revisionPtr revIDLastSave="0" documentId="13_ncr:1_{5E39B903-CB3D-4EC5-B14E-B1BAB453C688}" xr6:coauthVersionLast="47" xr6:coauthVersionMax="47" xr10:uidLastSave="{00000000-0000-0000-0000-000000000000}"/>
  <bookViews>
    <workbookView xWindow="-108" yWindow="-108" windowWidth="23256" windowHeight="12456" tabRatio="510" activeTab="1" xr2:uid="{00000000-000D-0000-FFFF-FFFF00000000}"/>
  </bookViews>
  <sheets>
    <sheet name="SOTA_results" sheetId="1" r:id="rId1"/>
    <sheet name="Ab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2" l="1"/>
  <c r="F57" i="2"/>
  <c r="G57" i="2"/>
  <c r="H57" i="2"/>
  <c r="I57" i="2"/>
  <c r="J57" i="2"/>
  <c r="K57" i="2"/>
  <c r="D57" i="2"/>
  <c r="E46" i="2"/>
  <c r="F46" i="2"/>
  <c r="G46" i="2"/>
  <c r="H46" i="2"/>
  <c r="I46" i="2"/>
  <c r="J46" i="2"/>
  <c r="K46" i="2"/>
  <c r="D46" i="2"/>
  <c r="P35" i="2"/>
  <c r="Q35" i="2"/>
  <c r="R35" i="2"/>
  <c r="S35" i="2"/>
  <c r="T35" i="2"/>
  <c r="O35" i="2"/>
  <c r="E35" i="2"/>
  <c r="F35" i="2"/>
  <c r="G35" i="2"/>
  <c r="H35" i="2"/>
  <c r="I35" i="2"/>
  <c r="J35" i="2"/>
  <c r="K35" i="2"/>
  <c r="D35" i="2"/>
  <c r="P12" i="2"/>
  <c r="Q12" i="2"/>
  <c r="R12" i="2"/>
  <c r="S12" i="2"/>
  <c r="T12" i="2"/>
  <c r="O12" i="2"/>
  <c r="K12" i="2"/>
  <c r="J12" i="2"/>
  <c r="I12" i="2"/>
  <c r="H12" i="2"/>
  <c r="G12" i="2"/>
  <c r="F12" i="2"/>
  <c r="E12" i="2"/>
  <c r="D12" i="2"/>
  <c r="E23" i="2"/>
  <c r="F23" i="2"/>
  <c r="G23" i="2"/>
  <c r="H23" i="2"/>
  <c r="I23" i="2"/>
  <c r="J23" i="2"/>
  <c r="K23" i="2"/>
  <c r="D23" i="2"/>
  <c r="AE89" i="1"/>
  <c r="AD89" i="1"/>
  <c r="AC89" i="1"/>
  <c r="AB89" i="1"/>
  <c r="AA89" i="1"/>
  <c r="Z89" i="1"/>
  <c r="Y89" i="1"/>
  <c r="X89" i="1"/>
  <c r="X81" i="1"/>
  <c r="AE81" i="1"/>
  <c r="AD81" i="1"/>
  <c r="AC81" i="1"/>
  <c r="AB81" i="1"/>
  <c r="AA81" i="1"/>
  <c r="Z81" i="1"/>
  <c r="Y81" i="1"/>
  <c r="AE72" i="1"/>
  <c r="AD72" i="1"/>
  <c r="AC72" i="1"/>
  <c r="AB72" i="1"/>
  <c r="AA72" i="1"/>
  <c r="Z72" i="1"/>
  <c r="Y72" i="1"/>
  <c r="X72" i="1"/>
  <c r="Y64" i="1"/>
  <c r="Z64" i="1"/>
  <c r="AA64" i="1"/>
  <c r="AB64" i="1"/>
  <c r="AC64" i="1"/>
  <c r="AD64" i="1"/>
  <c r="AE64" i="1"/>
  <c r="X64" i="1"/>
</calcChain>
</file>

<file path=xl/sharedStrings.xml><?xml version="1.0" encoding="utf-8"?>
<sst xmlns="http://schemas.openxmlformats.org/spreadsheetml/2006/main" count="321" uniqueCount="48">
  <si>
    <t>C#1</t>
  </si>
  <si>
    <t>C#2</t>
  </si>
  <si>
    <t>C#3</t>
  </si>
  <si>
    <t>C#4</t>
  </si>
  <si>
    <t>C#5</t>
  </si>
  <si>
    <t>Dice</t>
  </si>
  <si>
    <t>IoU W/B</t>
  </si>
  <si>
    <t>IoU N/B</t>
  </si>
  <si>
    <t>Precision</t>
  </si>
  <si>
    <t>Recall</t>
  </si>
  <si>
    <t>F1 Score</t>
  </si>
  <si>
    <t>HD 95</t>
  </si>
  <si>
    <t>ASSD</t>
  </si>
  <si>
    <t>Baseline SplitFed</t>
  </si>
  <si>
    <t>MuCALD SplitFed</t>
  </si>
  <si>
    <t>BS with FedEM</t>
  </si>
  <si>
    <t>BS with FedPer</t>
  </si>
  <si>
    <t>BS with FedRep</t>
  </si>
  <si>
    <t>BS with FedBN</t>
  </si>
  <si>
    <t>BS with FedProx</t>
  </si>
  <si>
    <t>BS with SCAFFOLD</t>
  </si>
  <si>
    <t>BS with MOCHA</t>
  </si>
  <si>
    <t>Client#</t>
  </si>
  <si>
    <t>Method</t>
  </si>
  <si>
    <t>Segmentation performance</t>
  </si>
  <si>
    <t>Split 1</t>
  </si>
  <si>
    <t>Split 2</t>
  </si>
  <si>
    <t>MSE</t>
  </si>
  <si>
    <t>PSNR</t>
  </si>
  <si>
    <t>SSIM</t>
  </si>
  <si>
    <t>BS-Unet</t>
  </si>
  <si>
    <t>MuCALD SplitFed-Unet</t>
  </si>
  <si>
    <t>BS-Unet3plus modified</t>
  </si>
  <si>
    <t>MuCALD SplitFed-Unet3plus modified</t>
  </si>
  <si>
    <t>BS-SwinUnet</t>
  </si>
  <si>
    <t>MuCALD SplitFed-SwinUnet</t>
  </si>
  <si>
    <t>- CRDM only (without DACA)</t>
  </si>
  <si>
    <t>- DACA only (without CRDM)</t>
  </si>
  <si>
    <t>- Causal graph discovery disabled (Neural-SCM replaced with a standard encoder)</t>
  </si>
  <si>
    <t>- Diffusion-based obfuscation disabled (forward diffusion removed from CRDM)</t>
  </si>
  <si>
    <t>CRDM only (without DACA)</t>
  </si>
  <si>
    <t xml:space="preserve"> CRDM only (without DACA)</t>
  </si>
  <si>
    <r>
      <t xml:space="preserve">In the DACA-only version we are not calculating reconstruction metrics.
Why: the code removed the whole diffusion/reconstruction branch, so there is no x_hat, no denoiser output, no latent reconstruction, and therefore nothing meaningful to compute MSE, PSNR, SSIM, FID, or LPIPS on.
</t>
    </r>
    <r>
      <rPr>
        <b/>
        <sz val="11"/>
        <color theme="1"/>
        <rFont val="Calibri"/>
        <family val="2"/>
        <scheme val="minor"/>
      </rPr>
      <t>What the DACA-only script is doing now is:</t>
    </r>
    <r>
      <rPr>
        <sz val="11"/>
        <color theme="1"/>
        <rFont val="Calibri"/>
        <family val="2"/>
        <scheme val="minor"/>
      </rPr>
      <t xml:space="preserve">
-segmentation training and evaluation,
-shared server-side split model aggregation,
-domain adversarial alignment through the GRL + discriminator.
</t>
    </r>
    <r>
      <rPr>
        <b/>
        <sz val="11"/>
        <color theme="1"/>
        <rFont val="Calibri"/>
        <family val="2"/>
        <scheme val="minor"/>
      </rPr>
      <t>What it is not doing:</t>
    </r>
    <r>
      <rPr>
        <sz val="11"/>
        <color theme="1"/>
        <rFont val="Calibri"/>
        <family val="2"/>
        <scheme val="minor"/>
      </rPr>
      <t xml:space="preserve">
-causal encoding,
-SCM/proxy supervision,
-diffusion denoising,
-latent reconstruction,
-reconstruction metric computation.</t>
    </r>
  </si>
  <si>
    <t>No reconstruction metrics</t>
  </si>
  <si>
    <t>Diffusion-based obfuscation disabled (forward diffusion and denoising removed from CRDM)</t>
  </si>
  <si>
    <t>(Diffusion disabled)</t>
  </si>
  <si>
    <t>(Forwad noising disbaled)</t>
  </si>
  <si>
    <t>Since forward corruption is removed, reconstruction metrics collapse to identity-level values and are not informative in this ablation.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</si>
</sst>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323232"/>
      <name val="Verdana"/>
      <family val="2"/>
    </font>
    <font>
      <b/>
      <sz val="11"/>
      <color rgb="FF32323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2" borderId="4" xfId="0" applyFont="1" applyFill="1" applyBorder="1"/>
    <xf numFmtId="0" fontId="1" fillId="0" borderId="0" xfId="0" applyFont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1" fillId="0" borderId="10" xfId="0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E89"/>
  <sheetViews>
    <sheetView topLeftCell="D31" zoomScale="70" zoomScaleNormal="70" workbookViewId="0">
      <selection activeCell="W68" sqref="W68"/>
    </sheetView>
  </sheetViews>
  <sheetFormatPr defaultRowHeight="14.4" x14ac:dyDescent="0.3"/>
  <cols>
    <col min="14" max="14" width="31.88671875" bestFit="1" customWidth="1"/>
    <col min="23" max="23" width="30.5546875" customWidth="1"/>
  </cols>
  <sheetData>
    <row r="3" spans="2:21" x14ac:dyDescent="0.3">
      <c r="D3" s="26" t="s">
        <v>24</v>
      </c>
      <c r="E3" s="26"/>
      <c r="F3" s="26"/>
      <c r="O3" s="11"/>
      <c r="P3" s="24" t="s">
        <v>25</v>
      </c>
      <c r="Q3" s="24"/>
      <c r="R3" s="24"/>
      <c r="S3" s="25" t="s">
        <v>26</v>
      </c>
      <c r="T3" s="24"/>
      <c r="U3" s="24"/>
    </row>
    <row r="4" spans="2:21" x14ac:dyDescent="0.3">
      <c r="B4" s="2" t="s">
        <v>23</v>
      </c>
      <c r="C4" s="2" t="s">
        <v>22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N4" s="2" t="s">
        <v>23</v>
      </c>
      <c r="O4" s="9" t="s">
        <v>22</v>
      </c>
      <c r="P4" s="2" t="s">
        <v>27</v>
      </c>
      <c r="Q4" s="2" t="s">
        <v>28</v>
      </c>
      <c r="R4" s="2" t="s">
        <v>29</v>
      </c>
      <c r="S4" s="12" t="s">
        <v>27</v>
      </c>
      <c r="T4" s="2" t="s">
        <v>28</v>
      </c>
      <c r="U4" s="2" t="s">
        <v>29</v>
      </c>
    </row>
    <row r="5" spans="2:21" ht="14.4" customHeight="1" x14ac:dyDescent="0.3">
      <c r="B5" s="22" t="s">
        <v>13</v>
      </c>
      <c r="C5" s="2" t="s">
        <v>0</v>
      </c>
      <c r="D5" s="4">
        <v>0.215</v>
      </c>
      <c r="E5" s="4">
        <v>0.1542</v>
      </c>
      <c r="F5" s="4">
        <v>4.4400000000000002E-2</v>
      </c>
      <c r="G5" s="4">
        <v>0.26440000000000002</v>
      </c>
      <c r="H5" s="4">
        <v>0.25700000000000001</v>
      </c>
      <c r="I5" s="4">
        <v>0.215</v>
      </c>
      <c r="J5" s="4">
        <v>69.301100000000005</v>
      </c>
      <c r="K5" s="4">
        <v>24.389399999999998</v>
      </c>
      <c r="N5" s="22" t="s">
        <v>13</v>
      </c>
      <c r="O5" s="9" t="s">
        <v>0</v>
      </c>
      <c r="P5" s="4">
        <v>0.32319999999999999</v>
      </c>
      <c r="Q5" s="4">
        <v>5.0914999999999999</v>
      </c>
      <c r="R5" s="4">
        <v>6.4600000000000005E-2</v>
      </c>
      <c r="S5" s="4">
        <v>0.25530000000000003</v>
      </c>
      <c r="T5" s="4">
        <v>0.1308</v>
      </c>
      <c r="U5" s="4">
        <v>0.12470000000000001</v>
      </c>
    </row>
    <row r="6" spans="2:21" x14ac:dyDescent="0.3">
      <c r="B6" s="22"/>
      <c r="C6" s="2" t="s">
        <v>1</v>
      </c>
      <c r="D6" s="4">
        <v>0.46860000000000002</v>
      </c>
      <c r="E6" s="4">
        <v>0.46860000000000002</v>
      </c>
      <c r="F6" s="4">
        <v>0.1605</v>
      </c>
      <c r="G6" s="4">
        <v>0.87570000000000003</v>
      </c>
      <c r="H6" s="4">
        <v>0.57989999999999997</v>
      </c>
      <c r="I6" s="4">
        <v>0.57540000000000002</v>
      </c>
      <c r="J6" s="4">
        <v>71.003900000000002</v>
      </c>
      <c r="K6" s="4">
        <v>22.846699999999998</v>
      </c>
      <c r="N6" s="22"/>
      <c r="O6" s="9" t="s">
        <v>1</v>
      </c>
      <c r="P6" s="4">
        <v>0.46829999999999999</v>
      </c>
      <c r="Q6" s="4">
        <v>3.411</v>
      </c>
      <c r="R6" s="4">
        <v>5.0000000000000001E-3</v>
      </c>
      <c r="S6" s="4">
        <v>0.46779999999999999</v>
      </c>
      <c r="T6" s="4">
        <v>3.4157999999999999</v>
      </c>
      <c r="U6" s="4">
        <v>5.0000000000000001E-3</v>
      </c>
    </row>
    <row r="7" spans="2:21" x14ac:dyDescent="0.3">
      <c r="B7" s="22"/>
      <c r="C7" s="2" t="s">
        <v>2</v>
      </c>
      <c r="D7" s="4">
        <v>0.31619999999999998</v>
      </c>
      <c r="E7" s="4">
        <v>0.28920000000000001</v>
      </c>
      <c r="F7" s="4">
        <v>6.8999999999999999E-3</v>
      </c>
      <c r="G7" s="4">
        <v>0.63390000000000002</v>
      </c>
      <c r="H7" s="4">
        <v>0.3377</v>
      </c>
      <c r="I7" s="4">
        <v>0.31619999999999998</v>
      </c>
      <c r="J7" s="4">
        <v>110.5462</v>
      </c>
      <c r="K7" s="4">
        <v>41.626199999999997</v>
      </c>
      <c r="N7" s="22"/>
      <c r="O7" s="9" t="s">
        <v>2</v>
      </c>
      <c r="P7" s="4">
        <v>3.73E-2</v>
      </c>
      <c r="Q7" s="4">
        <v>14.727</v>
      </c>
      <c r="R7" s="4">
        <v>0.38869999999999999</v>
      </c>
      <c r="S7" s="4">
        <v>3.6799999999999999E-2</v>
      </c>
      <c r="T7" s="4">
        <v>14.782</v>
      </c>
      <c r="U7" s="4">
        <v>0.39379999999999998</v>
      </c>
    </row>
    <row r="8" spans="2:21" x14ac:dyDescent="0.3">
      <c r="B8" s="22"/>
      <c r="C8" s="2" t="s">
        <v>3</v>
      </c>
      <c r="D8" s="4">
        <v>0.50260000000000005</v>
      </c>
      <c r="E8" s="4">
        <v>0.48849999999999999</v>
      </c>
      <c r="F8" s="4">
        <v>1.15E-2</v>
      </c>
      <c r="G8" s="4">
        <v>0.50239999999999996</v>
      </c>
      <c r="H8" s="4">
        <v>0.50280000000000002</v>
      </c>
      <c r="I8" s="4">
        <v>0.50260000000000005</v>
      </c>
      <c r="J8" s="4">
        <v>75.421700000000001</v>
      </c>
      <c r="K8" s="4">
        <v>33.196800000000003</v>
      </c>
      <c r="N8" s="22"/>
      <c r="O8" s="9" t="s">
        <v>3</v>
      </c>
      <c r="P8" s="4">
        <v>0.1547</v>
      </c>
      <c r="Q8" s="4">
        <v>9.2710000000000008</v>
      </c>
      <c r="R8" s="4">
        <v>0.1454</v>
      </c>
      <c r="S8" s="4">
        <v>0.15390000000000001</v>
      </c>
      <c r="T8" s="4">
        <v>9.2855000000000008</v>
      </c>
      <c r="U8" s="4">
        <v>0.14510000000000001</v>
      </c>
    </row>
    <row r="9" spans="2:21" x14ac:dyDescent="0.3">
      <c r="B9" s="22"/>
      <c r="C9" s="2" t="s">
        <v>4</v>
      </c>
      <c r="D9" s="4">
        <v>0.46579999999999999</v>
      </c>
      <c r="E9" s="4">
        <v>0.43380000000000002</v>
      </c>
      <c r="F9" s="4">
        <v>1.6999999999999999E-3</v>
      </c>
      <c r="G9" s="4">
        <v>0.4587</v>
      </c>
      <c r="H9" s="4">
        <v>0.49819999999999998</v>
      </c>
      <c r="I9" s="4">
        <v>0.46579999999999999</v>
      </c>
      <c r="J9" s="4">
        <v>68.281400000000005</v>
      </c>
      <c r="K9" s="4">
        <v>33.0289</v>
      </c>
      <c r="N9" s="22"/>
      <c r="O9" s="9" t="s">
        <v>4</v>
      </c>
      <c r="P9" s="4">
        <v>0.21840000000000001</v>
      </c>
      <c r="Q9" s="4">
        <v>6.7159000000000004</v>
      </c>
      <c r="R9" s="4">
        <v>0.1152</v>
      </c>
      <c r="S9" s="4">
        <v>0.17530000000000001</v>
      </c>
      <c r="T9" s="4">
        <v>7.7119</v>
      </c>
      <c r="U9" s="4">
        <v>0.21249999999999999</v>
      </c>
    </row>
    <row r="10" spans="2:21" ht="3" customHeight="1" x14ac:dyDescent="0.3">
      <c r="B10" s="5"/>
      <c r="C10" s="1"/>
      <c r="D10" s="1"/>
      <c r="E10" s="1"/>
      <c r="F10" s="1"/>
      <c r="G10" s="1"/>
      <c r="H10" s="1"/>
      <c r="I10" s="1"/>
      <c r="J10" s="1"/>
      <c r="K10" s="1"/>
      <c r="N10" s="5"/>
      <c r="O10" s="1"/>
      <c r="P10" s="4"/>
      <c r="Q10" s="4"/>
      <c r="R10" s="4"/>
      <c r="S10" s="4"/>
      <c r="T10" s="4"/>
      <c r="U10" s="4"/>
    </row>
    <row r="11" spans="2:21" x14ac:dyDescent="0.3">
      <c r="B11" s="22" t="s">
        <v>16</v>
      </c>
      <c r="C11" s="2" t="s">
        <v>0</v>
      </c>
      <c r="D11" s="4">
        <v>8.6499999999999994E-2</v>
      </c>
      <c r="E11" s="4">
        <v>5.5199999999999999E-2</v>
      </c>
      <c r="F11" s="4">
        <v>6.9000000000000006E-2</v>
      </c>
      <c r="G11" s="4">
        <v>0.25519999999999998</v>
      </c>
      <c r="H11" s="4">
        <v>0.2</v>
      </c>
      <c r="I11" s="4">
        <v>8.6499999999999994E-2</v>
      </c>
      <c r="J11" s="4">
        <v>212.1943</v>
      </c>
      <c r="K11" s="4">
        <v>73.481099999999998</v>
      </c>
      <c r="N11" s="22" t="s">
        <v>16</v>
      </c>
      <c r="O11" s="9" t="s">
        <v>0</v>
      </c>
      <c r="P11" s="4">
        <v>0.14269999999999999</v>
      </c>
      <c r="Q11" s="4">
        <v>9.0351999999999997</v>
      </c>
      <c r="R11" s="4">
        <v>0.42</v>
      </c>
      <c r="S11" s="4">
        <v>0.1164</v>
      </c>
      <c r="T11" s="4">
        <v>10.0549</v>
      </c>
      <c r="U11" s="4">
        <v>0.4007</v>
      </c>
    </row>
    <row r="12" spans="2:21" x14ac:dyDescent="0.3">
      <c r="B12" s="22"/>
      <c r="C12" s="2" t="s">
        <v>1</v>
      </c>
      <c r="D12" s="4">
        <v>0.2026</v>
      </c>
      <c r="E12" s="4">
        <v>0.127</v>
      </c>
      <c r="F12" s="4">
        <v>0.25409999999999999</v>
      </c>
      <c r="G12" s="4">
        <v>0.127</v>
      </c>
      <c r="H12" s="4">
        <v>0.5</v>
      </c>
      <c r="I12" s="4">
        <v>0.2026</v>
      </c>
      <c r="J12" s="4">
        <v>196.64009999999999</v>
      </c>
      <c r="K12" s="4">
        <v>61.106200000000001</v>
      </c>
      <c r="N12" s="22"/>
      <c r="O12" s="9" t="s">
        <v>1</v>
      </c>
      <c r="P12" s="4">
        <v>0.17280000000000001</v>
      </c>
      <c r="Q12" s="4">
        <v>8.1142000000000003</v>
      </c>
      <c r="R12" s="4">
        <v>0.47449999999999998</v>
      </c>
      <c r="S12" s="4">
        <v>0.106</v>
      </c>
      <c r="T12" s="4">
        <v>10.4956</v>
      </c>
      <c r="U12" s="4">
        <v>0.49109999999999998</v>
      </c>
    </row>
    <row r="13" spans="2:21" x14ac:dyDescent="0.3">
      <c r="B13" s="22"/>
      <c r="C13" s="2" t="s">
        <v>2</v>
      </c>
      <c r="D13" s="4">
        <v>0.30690000000000001</v>
      </c>
      <c r="E13" s="4">
        <v>0.28439999999999999</v>
      </c>
      <c r="F13" s="4">
        <v>0</v>
      </c>
      <c r="G13" s="4">
        <v>0.28439999999999999</v>
      </c>
      <c r="H13" s="4">
        <v>0.33329999999999999</v>
      </c>
      <c r="I13" s="4">
        <v>0.30690000000000001</v>
      </c>
      <c r="J13" s="4">
        <v>125.44589999999999</v>
      </c>
      <c r="K13" s="4">
        <v>46.151600000000002</v>
      </c>
      <c r="N13" s="22"/>
      <c r="O13" s="9" t="s">
        <v>2</v>
      </c>
      <c r="P13" s="4">
        <v>3.628E-2</v>
      </c>
      <c r="Q13" s="4">
        <v>14.8256</v>
      </c>
      <c r="R13" s="4">
        <v>0.38850000000000001</v>
      </c>
      <c r="S13" s="4">
        <v>3.6269999999999997E-2</v>
      </c>
      <c r="T13" s="4">
        <v>14.8262</v>
      </c>
      <c r="U13" s="4">
        <v>0.38850000000000001</v>
      </c>
    </row>
    <row r="14" spans="2:21" x14ac:dyDescent="0.3">
      <c r="B14" s="22"/>
      <c r="C14" s="2" t="s">
        <v>3</v>
      </c>
      <c r="D14" s="4">
        <v>0.49590000000000001</v>
      </c>
      <c r="E14" s="4">
        <v>0.49180000000000001</v>
      </c>
      <c r="F14" s="4">
        <v>0</v>
      </c>
      <c r="G14" s="4">
        <v>0.49180000000000001</v>
      </c>
      <c r="H14" s="4">
        <v>0.5</v>
      </c>
      <c r="I14" s="4">
        <v>0.49590000000000001</v>
      </c>
      <c r="J14" s="4">
        <v>95.260400000000004</v>
      </c>
      <c r="K14" s="4">
        <v>40.435400000000001</v>
      </c>
      <c r="N14" s="22"/>
      <c r="O14" s="9" t="s">
        <v>3</v>
      </c>
      <c r="P14" s="4">
        <v>0.15859999999999999</v>
      </c>
      <c r="Q14" s="4">
        <v>9.2340999999999998</v>
      </c>
      <c r="R14" s="4">
        <v>0.14180000000000001</v>
      </c>
      <c r="S14" s="4">
        <v>0.15859999999999999</v>
      </c>
      <c r="T14" s="4">
        <v>9.2340999999999998</v>
      </c>
      <c r="U14" s="4">
        <v>0.14180000000000001</v>
      </c>
    </row>
    <row r="15" spans="2:21" x14ac:dyDescent="0.3">
      <c r="B15" s="22"/>
      <c r="C15" s="2" t="s">
        <v>4</v>
      </c>
      <c r="D15" s="4">
        <v>0.46529999999999999</v>
      </c>
      <c r="E15" s="4">
        <v>0.43519999999999998</v>
      </c>
      <c r="F15" s="4">
        <v>0</v>
      </c>
      <c r="G15" s="4">
        <v>0.43519999999999998</v>
      </c>
      <c r="H15" s="4">
        <v>0.5</v>
      </c>
      <c r="I15" s="4">
        <v>0.46529999999999999</v>
      </c>
      <c r="J15" s="4">
        <v>113.2355</v>
      </c>
      <c r="K15" s="4">
        <v>45.931199999999997</v>
      </c>
      <c r="N15" s="22"/>
      <c r="O15" s="9" t="s">
        <v>4</v>
      </c>
      <c r="P15" s="4">
        <v>0.2175</v>
      </c>
      <c r="Q15" s="4">
        <v>6.7385999999999999</v>
      </c>
      <c r="R15" s="4">
        <v>0.1148</v>
      </c>
      <c r="S15" s="4">
        <v>0.2175</v>
      </c>
      <c r="T15" s="4">
        <v>6.7385999999999999</v>
      </c>
      <c r="U15" s="4">
        <v>0.1148</v>
      </c>
    </row>
    <row r="16" spans="2:21" ht="3" customHeight="1" x14ac:dyDescent="0.3">
      <c r="B16" s="7"/>
      <c r="C16" s="1"/>
      <c r="D16" s="1"/>
      <c r="E16" s="1"/>
      <c r="F16" s="1"/>
      <c r="G16" s="1"/>
      <c r="H16" s="1"/>
      <c r="I16" s="1"/>
      <c r="J16" s="1"/>
      <c r="K16" s="1"/>
      <c r="N16" s="7"/>
      <c r="O16" s="1"/>
      <c r="P16" s="4"/>
      <c r="Q16" s="4"/>
      <c r="R16" s="4"/>
      <c r="S16" s="4"/>
      <c r="T16" s="4"/>
      <c r="U16" s="4"/>
    </row>
    <row r="17" spans="2:21" x14ac:dyDescent="0.3">
      <c r="B17" s="22" t="s">
        <v>17</v>
      </c>
      <c r="C17" s="2" t="s">
        <v>0</v>
      </c>
      <c r="D17" s="4">
        <v>0.3473</v>
      </c>
      <c r="E17" s="4">
        <v>0.24399999999999999</v>
      </c>
      <c r="F17" s="4">
        <v>0.14829999999999999</v>
      </c>
      <c r="G17" s="4">
        <v>0.48259999999999997</v>
      </c>
      <c r="H17" s="4">
        <v>0.36609999999999998</v>
      </c>
      <c r="I17" s="4">
        <v>0.3473</v>
      </c>
      <c r="J17" s="4">
        <v>46.694099999999999</v>
      </c>
      <c r="K17" s="4">
        <v>11.823600000000001</v>
      </c>
      <c r="N17" s="22" t="s">
        <v>17</v>
      </c>
      <c r="O17" s="9" t="s">
        <v>0</v>
      </c>
      <c r="P17" s="4">
        <v>0.33829999999999999</v>
      </c>
      <c r="Q17" s="4">
        <v>4.9854000000000003</v>
      </c>
      <c r="R17" s="4">
        <v>6.2899999999999998E-2</v>
      </c>
      <c r="S17" s="4">
        <v>0.245</v>
      </c>
      <c r="T17" s="4">
        <v>6.3856000000000002</v>
      </c>
      <c r="U17" s="4">
        <v>0.16850000000000001</v>
      </c>
    </row>
    <row r="18" spans="2:21" x14ac:dyDescent="0.3">
      <c r="B18" s="22"/>
      <c r="C18" s="2" t="s">
        <v>1</v>
      </c>
      <c r="D18" s="4">
        <v>0.92520000000000002</v>
      </c>
      <c r="E18" s="4">
        <v>0.86299999999999999</v>
      </c>
      <c r="F18" s="4">
        <v>0.8</v>
      </c>
      <c r="G18" s="4">
        <v>0.92210000000000003</v>
      </c>
      <c r="H18" s="4">
        <v>0.92849999999999999</v>
      </c>
      <c r="I18" s="4">
        <v>0.92520000000000002</v>
      </c>
      <c r="J18" s="4">
        <v>14.4984</v>
      </c>
      <c r="K18" s="4">
        <v>2.4377</v>
      </c>
      <c r="N18" s="22"/>
      <c r="O18" s="9" t="s">
        <v>1</v>
      </c>
      <c r="P18" s="4">
        <v>0.47449999999999998</v>
      </c>
      <c r="Q18" s="4">
        <v>3.3157999999999999</v>
      </c>
      <c r="R18" s="4">
        <v>5.3499999999999999E-2</v>
      </c>
      <c r="S18" s="4">
        <v>0.4672</v>
      </c>
      <c r="T18" s="4">
        <v>3.3957000000000002</v>
      </c>
      <c r="U18" s="4">
        <v>5.5800000000000002E-2</v>
      </c>
    </row>
    <row r="19" spans="2:21" x14ac:dyDescent="0.3">
      <c r="B19" s="22"/>
      <c r="C19" s="2" t="s">
        <v>2</v>
      </c>
      <c r="D19" s="4">
        <v>0.67179999999999995</v>
      </c>
      <c r="E19" s="4">
        <v>0.57120000000000004</v>
      </c>
      <c r="F19" s="4">
        <v>0.3952</v>
      </c>
      <c r="G19" s="4">
        <v>0.75429999999999997</v>
      </c>
      <c r="H19" s="4">
        <v>0.62170000000000003</v>
      </c>
      <c r="I19" s="4">
        <v>0.67179999999999995</v>
      </c>
      <c r="J19" s="4">
        <v>38.062800000000003</v>
      </c>
      <c r="K19" s="4">
        <v>7.1999000000000004</v>
      </c>
      <c r="N19" s="22"/>
      <c r="O19" s="9" t="s">
        <v>2</v>
      </c>
      <c r="P19" s="4">
        <v>0.1028</v>
      </c>
      <c r="Q19" s="4">
        <v>10.138</v>
      </c>
      <c r="R19" s="4">
        <v>0.38890000000000002</v>
      </c>
      <c r="S19" s="4">
        <v>9.5699999999999993E-2</v>
      </c>
      <c r="T19" s="4">
        <v>10.472</v>
      </c>
      <c r="U19" s="4">
        <v>0.39240000000000003</v>
      </c>
    </row>
    <row r="20" spans="2:21" x14ac:dyDescent="0.3">
      <c r="B20" s="22"/>
      <c r="C20" s="2" t="s">
        <v>3</v>
      </c>
      <c r="D20" s="4">
        <v>0.49590000000000001</v>
      </c>
      <c r="E20" s="4">
        <v>0.49180000000000001</v>
      </c>
      <c r="F20" s="4">
        <v>0</v>
      </c>
      <c r="G20" s="4">
        <v>0.50729999999999997</v>
      </c>
      <c r="H20" s="4">
        <v>0.5</v>
      </c>
      <c r="I20" s="4">
        <v>0.49590000000000001</v>
      </c>
      <c r="J20" s="4">
        <v>88.869</v>
      </c>
      <c r="K20" s="4">
        <v>39.608600000000003</v>
      </c>
      <c r="N20" s="22"/>
      <c r="O20" s="9" t="s">
        <v>3</v>
      </c>
      <c r="P20" s="4">
        <v>0.15859999999999999</v>
      </c>
      <c r="Q20" s="4">
        <v>9.234</v>
      </c>
      <c r="R20" s="4">
        <v>0.14180000000000001</v>
      </c>
      <c r="S20" s="4">
        <v>0.1573</v>
      </c>
      <c r="T20" s="4">
        <v>9.2570999999999994</v>
      </c>
      <c r="U20" s="4">
        <v>0.1774</v>
      </c>
    </row>
    <row r="21" spans="2:21" x14ac:dyDescent="0.3">
      <c r="B21" s="22"/>
      <c r="C21" s="2" t="s">
        <v>4</v>
      </c>
      <c r="D21" s="4">
        <v>0.68889999999999996</v>
      </c>
      <c r="E21" s="4">
        <v>0.58279999999999998</v>
      </c>
      <c r="F21" s="4">
        <v>0.28139999999999998</v>
      </c>
      <c r="G21" s="4">
        <v>0.7732</v>
      </c>
      <c r="H21" s="4">
        <v>0.6532</v>
      </c>
      <c r="I21" s="4">
        <v>0.68889999999999996</v>
      </c>
      <c r="J21" s="4">
        <v>41.971200000000003</v>
      </c>
      <c r="K21" s="4">
        <v>13.5463</v>
      </c>
      <c r="N21" s="22"/>
      <c r="O21" s="9" t="s">
        <v>4</v>
      </c>
      <c r="P21" s="4">
        <v>0.20680000000000001</v>
      </c>
      <c r="Q21" s="4">
        <v>6.9771000000000001</v>
      </c>
      <c r="R21" s="4">
        <v>0.13320000000000001</v>
      </c>
      <c r="S21" s="4">
        <v>0.1789</v>
      </c>
      <c r="T21" s="4">
        <v>7.6184000000000003</v>
      </c>
      <c r="U21" s="4">
        <v>0.14080000000000001</v>
      </c>
    </row>
    <row r="22" spans="2:21" ht="3.6" customHeight="1" x14ac:dyDescent="0.3">
      <c r="B22" s="8"/>
      <c r="C22" s="5"/>
      <c r="D22" s="6"/>
      <c r="E22" s="6"/>
      <c r="F22" s="6"/>
      <c r="G22" s="6"/>
      <c r="H22" s="6"/>
      <c r="I22" s="6"/>
      <c r="J22" s="6"/>
      <c r="K22" s="6"/>
      <c r="N22" s="8"/>
      <c r="O22" s="10"/>
      <c r="P22" s="4"/>
      <c r="Q22" s="4"/>
      <c r="R22" s="4"/>
      <c r="S22" s="4"/>
      <c r="T22" s="4"/>
      <c r="U22" s="4"/>
    </row>
    <row r="23" spans="2:21" x14ac:dyDescent="0.3">
      <c r="B23" s="22" t="s">
        <v>18</v>
      </c>
      <c r="C23" s="2" t="s">
        <v>0</v>
      </c>
      <c r="D23" s="4">
        <v>0.37380000000000002</v>
      </c>
      <c r="E23" s="4">
        <v>0.27650000000000002</v>
      </c>
      <c r="F23" s="4">
        <v>0.17860000000000001</v>
      </c>
      <c r="G23" s="4">
        <v>0.37659999999999999</v>
      </c>
      <c r="H23" s="4">
        <v>0.40089999999999998</v>
      </c>
      <c r="I23" s="4">
        <v>0.37380000000000002</v>
      </c>
      <c r="J23" s="4">
        <v>45.935400000000001</v>
      </c>
      <c r="K23" s="4">
        <v>16.876200000000001</v>
      </c>
      <c r="N23" s="22" t="s">
        <v>18</v>
      </c>
      <c r="O23" s="9" t="s">
        <v>0</v>
      </c>
      <c r="P23" s="4">
        <v>0.29020000000000001</v>
      </c>
      <c r="Q23" s="4">
        <v>5.4013</v>
      </c>
      <c r="R23" s="4">
        <v>9.5600000000000004E-2</v>
      </c>
      <c r="S23" s="4">
        <v>0.2152</v>
      </c>
      <c r="T23" s="4">
        <v>6.7583000000000002</v>
      </c>
      <c r="U23" s="4">
        <v>0.1095</v>
      </c>
    </row>
    <row r="24" spans="2:21" x14ac:dyDescent="0.3">
      <c r="B24" s="22"/>
      <c r="C24" s="2" t="s">
        <v>1</v>
      </c>
      <c r="D24" s="4">
        <v>0.5423</v>
      </c>
      <c r="E24" s="4">
        <v>0.44479999999999997</v>
      </c>
      <c r="F24" s="4">
        <v>0.1205</v>
      </c>
      <c r="G24" s="4">
        <v>0.87629999999999997</v>
      </c>
      <c r="H24" s="4">
        <v>0.56000000000000005</v>
      </c>
      <c r="I24" s="4">
        <v>0.5423</v>
      </c>
      <c r="J24" s="4">
        <v>82.265799999999999</v>
      </c>
      <c r="K24" s="4">
        <v>27.962499999999999</v>
      </c>
      <c r="N24" s="22"/>
      <c r="O24" s="9" t="s">
        <v>1</v>
      </c>
      <c r="P24" s="4">
        <v>0.47049999999999997</v>
      </c>
      <c r="Q24" s="4">
        <v>3.3953000000000002</v>
      </c>
      <c r="R24" s="4">
        <v>3.0999999999999999E-3</v>
      </c>
      <c r="S24" s="4">
        <v>0.46860000000000002</v>
      </c>
      <c r="T24" s="4">
        <v>3.4117999999999999</v>
      </c>
      <c r="U24" s="4">
        <v>3.5000000000000001E-3</v>
      </c>
    </row>
    <row r="25" spans="2:21" x14ac:dyDescent="0.3">
      <c r="B25" s="22"/>
      <c r="C25" s="2" t="s">
        <v>2</v>
      </c>
      <c r="D25" s="4">
        <v>0.39960000000000001</v>
      </c>
      <c r="E25" s="4">
        <v>0.3332</v>
      </c>
      <c r="F25" s="4">
        <v>8.5800000000000001E-2</v>
      </c>
      <c r="G25" s="4">
        <v>0.41660000000000003</v>
      </c>
      <c r="H25" s="4">
        <v>0.39340000000000003</v>
      </c>
      <c r="I25" s="4">
        <v>0.39960000000000001</v>
      </c>
      <c r="J25" s="4">
        <v>92.350899999999996</v>
      </c>
      <c r="K25" s="4">
        <v>30.747199999999999</v>
      </c>
      <c r="N25" s="22"/>
      <c r="O25" s="9" t="s">
        <v>2</v>
      </c>
      <c r="P25" s="4">
        <v>6.2429999999999999E-2</v>
      </c>
      <c r="Q25" s="4">
        <v>12.6877</v>
      </c>
      <c r="R25" s="4">
        <v>0.39650000000000002</v>
      </c>
      <c r="S25" s="4">
        <v>5.8000000000000003E-2</v>
      </c>
      <c r="T25" s="4">
        <v>12.9748</v>
      </c>
      <c r="U25" s="4">
        <v>0.39760000000000001</v>
      </c>
    </row>
    <row r="26" spans="2:21" x14ac:dyDescent="0.3">
      <c r="B26" s="22"/>
      <c r="C26" s="2" t="s">
        <v>3</v>
      </c>
      <c r="D26" s="4">
        <v>0.49590000000000001</v>
      </c>
      <c r="E26" s="4">
        <v>0.49180000000000001</v>
      </c>
      <c r="F26" s="4">
        <v>0</v>
      </c>
      <c r="G26" s="4">
        <v>0.49180000000000001</v>
      </c>
      <c r="H26" s="4">
        <v>0.5</v>
      </c>
      <c r="I26" s="4">
        <v>0.49590000000000001</v>
      </c>
      <c r="J26" s="4">
        <v>95.260400000000004</v>
      </c>
      <c r="K26" s="4">
        <v>40.435400000000001</v>
      </c>
      <c r="N26" s="22"/>
      <c r="O26" s="9" t="s">
        <v>3</v>
      </c>
      <c r="P26" s="4">
        <v>0.15859999999999999</v>
      </c>
      <c r="Q26" s="4">
        <v>9.2340999999999998</v>
      </c>
      <c r="R26" s="4">
        <v>0.14180000000000001</v>
      </c>
      <c r="S26" s="4">
        <v>0.1583</v>
      </c>
      <c r="T26" s="4">
        <v>9.2408999999999999</v>
      </c>
      <c r="U26" s="4">
        <v>0.14369999999999999</v>
      </c>
    </row>
    <row r="27" spans="2:21" x14ac:dyDescent="0.3">
      <c r="B27" s="22"/>
      <c r="C27" s="2" t="s">
        <v>4</v>
      </c>
      <c r="D27" s="4">
        <v>0.46560000000000001</v>
      </c>
      <c r="E27" s="4">
        <v>0.43530000000000002</v>
      </c>
      <c r="F27" s="4">
        <v>2.0000000000000001E-4</v>
      </c>
      <c r="G27" s="4">
        <v>0.90239999999999998</v>
      </c>
      <c r="H27" s="4">
        <v>0.50009999999999999</v>
      </c>
      <c r="I27" s="4">
        <v>0.46560000000000001</v>
      </c>
      <c r="J27" s="4">
        <v>111.62009999999999</v>
      </c>
      <c r="K27" s="4">
        <v>45.246099999999998</v>
      </c>
      <c r="N27" s="22"/>
      <c r="O27" s="9" t="s">
        <v>4</v>
      </c>
      <c r="P27" s="4">
        <v>0.2175</v>
      </c>
      <c r="Q27" s="4">
        <v>6.7386999999999997</v>
      </c>
      <c r="R27" s="4">
        <v>0.1148</v>
      </c>
      <c r="S27" s="4">
        <v>0.14319999999999999</v>
      </c>
      <c r="T27" s="4">
        <v>8.5784000000000002</v>
      </c>
      <c r="U27" s="4">
        <v>0.21390000000000001</v>
      </c>
    </row>
    <row r="28" spans="2:21" ht="4.2" customHeight="1" x14ac:dyDescent="0.3">
      <c r="B28" s="7"/>
      <c r="C28" s="1"/>
      <c r="D28" s="1"/>
      <c r="E28" s="1"/>
      <c r="F28" s="1"/>
      <c r="G28" s="1"/>
      <c r="H28" s="1"/>
      <c r="I28" s="1"/>
      <c r="J28" s="1"/>
      <c r="K28" s="1"/>
      <c r="N28" s="7"/>
      <c r="O28" s="1"/>
      <c r="P28" s="4"/>
      <c r="Q28" s="4"/>
      <c r="R28" s="4"/>
      <c r="S28" s="4"/>
      <c r="T28" s="4"/>
      <c r="U28" s="4"/>
    </row>
    <row r="29" spans="2:21" x14ac:dyDescent="0.3">
      <c r="B29" s="22" t="s">
        <v>19</v>
      </c>
      <c r="C29" s="2" t="s">
        <v>0</v>
      </c>
      <c r="D29" s="4">
        <v>0.31719999999999998</v>
      </c>
      <c r="E29" s="4">
        <v>0.21060000000000001</v>
      </c>
      <c r="F29" s="4">
        <v>0.16200000000000001</v>
      </c>
      <c r="G29" s="4">
        <v>0.32700000000000001</v>
      </c>
      <c r="H29" s="4">
        <v>0.32300000000000001</v>
      </c>
      <c r="I29" s="4">
        <v>0.31719999999999998</v>
      </c>
      <c r="J29" s="4">
        <v>53.136299999999999</v>
      </c>
      <c r="K29" s="4">
        <v>11.9117</v>
      </c>
      <c r="N29" s="22" t="s">
        <v>19</v>
      </c>
      <c r="O29" s="9" t="s">
        <v>0</v>
      </c>
      <c r="P29" s="4">
        <v>0.28299999999999997</v>
      </c>
      <c r="Q29" s="4">
        <v>5.7042000000000002</v>
      </c>
      <c r="R29" s="4">
        <v>7.1459999999999996E-2</v>
      </c>
      <c r="S29" s="4">
        <v>0.21729999999999999</v>
      </c>
      <c r="T29" s="4">
        <v>6.7938999999999998</v>
      </c>
      <c r="U29" s="4">
        <v>3.4299999999999997E-2</v>
      </c>
    </row>
    <row r="30" spans="2:21" x14ac:dyDescent="0.3">
      <c r="B30" s="22"/>
      <c r="C30" s="2" t="s">
        <v>1</v>
      </c>
      <c r="D30" s="4">
        <v>0.68969999999999998</v>
      </c>
      <c r="E30" s="4">
        <v>0.53290000000000004</v>
      </c>
      <c r="F30" s="4">
        <v>0.43259999999999998</v>
      </c>
      <c r="G30" s="4">
        <v>0.69920000000000004</v>
      </c>
      <c r="H30" s="4">
        <v>0.76170000000000004</v>
      </c>
      <c r="I30" s="4">
        <v>0.68969999999999998</v>
      </c>
      <c r="J30" s="4">
        <v>45.377400000000002</v>
      </c>
      <c r="K30" s="4">
        <v>9.4859000000000009</v>
      </c>
      <c r="N30" s="22"/>
      <c r="O30" s="9" t="s">
        <v>1</v>
      </c>
      <c r="P30" s="4">
        <v>0.3906</v>
      </c>
      <c r="Q30" s="4">
        <v>4.3240999999999996</v>
      </c>
      <c r="R30" s="4">
        <v>0.1575</v>
      </c>
      <c r="S30" s="4">
        <v>0.36809999999999998</v>
      </c>
      <c r="T30" s="4">
        <v>4.6478999999999999</v>
      </c>
      <c r="U30" s="4">
        <v>0.14349999999999999</v>
      </c>
    </row>
    <row r="31" spans="2:21" x14ac:dyDescent="0.3">
      <c r="B31" s="22"/>
      <c r="C31" s="2" t="s">
        <v>2</v>
      </c>
      <c r="D31" s="4">
        <v>0.36680000000000001</v>
      </c>
      <c r="E31" s="4">
        <v>0.2974</v>
      </c>
      <c r="F31" s="4">
        <v>6.7599999999999993E-2</v>
      </c>
      <c r="G31" s="4">
        <v>0.38300000000000001</v>
      </c>
      <c r="H31" s="4">
        <v>0.37730000000000002</v>
      </c>
      <c r="I31" s="4">
        <v>0.36680000000000001</v>
      </c>
      <c r="J31" s="4">
        <v>69.066199999999995</v>
      </c>
      <c r="K31" s="4">
        <v>18.966200000000001</v>
      </c>
      <c r="N31" s="22"/>
      <c r="O31" s="9" t="s">
        <v>2</v>
      </c>
      <c r="P31" s="4">
        <v>0.1368</v>
      </c>
      <c r="Q31" s="4">
        <v>8.8265999999999991</v>
      </c>
      <c r="R31" s="4">
        <v>0.40039999999999998</v>
      </c>
      <c r="S31" s="4">
        <v>0.1128</v>
      </c>
      <c r="T31" s="4">
        <v>9.6654</v>
      </c>
      <c r="U31" s="4">
        <v>0.40410000000000001</v>
      </c>
    </row>
    <row r="32" spans="2:21" x14ac:dyDescent="0.3">
      <c r="B32" s="22"/>
      <c r="C32" s="2" t="s">
        <v>3</v>
      </c>
      <c r="D32" s="4">
        <v>0.60899999999999999</v>
      </c>
      <c r="E32" s="4">
        <v>0.55249999999999999</v>
      </c>
      <c r="F32" s="4">
        <v>0.1305</v>
      </c>
      <c r="G32" s="4">
        <v>0.60809999999999997</v>
      </c>
      <c r="H32" s="4">
        <v>0.6099</v>
      </c>
      <c r="I32" s="4">
        <v>0.60899999999999999</v>
      </c>
      <c r="J32" s="4">
        <v>38.697000000000003</v>
      </c>
      <c r="K32" s="4">
        <v>12.700699999999999</v>
      </c>
      <c r="N32" s="22"/>
      <c r="O32" s="9" t="s">
        <v>3</v>
      </c>
      <c r="P32" s="4">
        <v>0.16370000000000001</v>
      </c>
      <c r="Q32" s="4">
        <v>9.1252999999999993</v>
      </c>
      <c r="R32" s="4">
        <v>0.1409</v>
      </c>
      <c r="S32" s="4">
        <v>0.15870000000000001</v>
      </c>
      <c r="T32" s="4">
        <v>9.2958999999999996</v>
      </c>
      <c r="U32" s="4">
        <v>0.14749999999999999</v>
      </c>
    </row>
    <row r="33" spans="2:21" x14ac:dyDescent="0.3">
      <c r="B33" s="22"/>
      <c r="C33" s="2" t="s">
        <v>4</v>
      </c>
      <c r="D33" s="4">
        <v>0.56200000000000006</v>
      </c>
      <c r="E33" s="4">
        <v>0.46850000000000003</v>
      </c>
      <c r="F33" s="4">
        <v>0.13070000000000001</v>
      </c>
      <c r="G33" s="4">
        <v>0.56559999999999999</v>
      </c>
      <c r="H33" s="4">
        <v>0.55930000000000002</v>
      </c>
      <c r="I33" s="4">
        <v>0.56200000000000006</v>
      </c>
      <c r="J33" s="4">
        <v>60.847700000000003</v>
      </c>
      <c r="K33" s="4">
        <v>16.1038</v>
      </c>
      <c r="N33" s="22"/>
      <c r="O33" s="9" t="s">
        <v>4</v>
      </c>
      <c r="P33" s="4">
        <v>0.18859999999999999</v>
      </c>
      <c r="Q33" s="4">
        <v>7.3552</v>
      </c>
      <c r="R33" s="4">
        <v>0.13289999999999999</v>
      </c>
      <c r="S33" s="4">
        <v>0.14050000000000001</v>
      </c>
      <c r="T33" s="4">
        <v>8.6433999999999997</v>
      </c>
      <c r="U33" s="4">
        <v>0.1699</v>
      </c>
    </row>
    <row r="34" spans="2:21" ht="3.6" customHeight="1" x14ac:dyDescent="0.3">
      <c r="B34" s="7"/>
      <c r="C34" s="1"/>
      <c r="D34" s="1"/>
      <c r="E34" s="1"/>
      <c r="F34" s="1"/>
      <c r="G34" s="1"/>
      <c r="H34" s="1"/>
      <c r="I34" s="1"/>
      <c r="J34" s="1"/>
      <c r="K34" s="1"/>
      <c r="N34" s="7"/>
      <c r="O34" s="1"/>
      <c r="P34" s="4"/>
      <c r="Q34" s="4"/>
      <c r="R34" s="4"/>
      <c r="S34" s="4"/>
      <c r="T34" s="4"/>
      <c r="U34" s="4"/>
    </row>
    <row r="35" spans="2:21" x14ac:dyDescent="0.3">
      <c r="B35" s="22" t="s">
        <v>20</v>
      </c>
      <c r="C35" s="2" t="s">
        <v>0</v>
      </c>
      <c r="D35" s="4">
        <v>0.16750000000000001</v>
      </c>
      <c r="E35" s="4">
        <v>0.1004</v>
      </c>
      <c r="F35" s="4">
        <v>5.79E-2</v>
      </c>
      <c r="G35" s="4">
        <v>0.1598</v>
      </c>
      <c r="H35" s="4">
        <v>0.1885</v>
      </c>
      <c r="I35" s="4">
        <v>0.16750000000000001</v>
      </c>
      <c r="J35" s="4">
        <v>104.3897</v>
      </c>
      <c r="K35" s="4">
        <v>41.986800000000002</v>
      </c>
      <c r="N35" s="22" t="s">
        <v>20</v>
      </c>
      <c r="O35" s="9" t="s">
        <v>0</v>
      </c>
      <c r="P35" s="4">
        <v>0.32990000000000003</v>
      </c>
      <c r="Q35" s="4">
        <v>4.8926999999999996</v>
      </c>
      <c r="R35" s="4">
        <v>9.1000000000000004E-3</v>
      </c>
      <c r="S35" s="4">
        <v>4.3970000000000002E-2</v>
      </c>
      <c r="T35" s="4">
        <v>14.3024</v>
      </c>
      <c r="U35" s="4">
        <v>9.6000000000000002E-2</v>
      </c>
    </row>
    <row r="36" spans="2:21" x14ac:dyDescent="0.3">
      <c r="B36" s="22"/>
      <c r="C36" s="2" t="s">
        <v>1</v>
      </c>
      <c r="D36" s="4">
        <v>0.38769999999999999</v>
      </c>
      <c r="E36" s="4">
        <v>0.2404</v>
      </c>
      <c r="F36" s="4">
        <v>0.23710000000000001</v>
      </c>
      <c r="G36" s="4">
        <v>0.50670000000000004</v>
      </c>
      <c r="H36" s="4">
        <v>0.50680000000000003</v>
      </c>
      <c r="I36" s="4">
        <v>0.38769999999999999</v>
      </c>
      <c r="J36" s="4">
        <v>9.8233999999999995</v>
      </c>
      <c r="K36" s="4">
        <v>52.924199999999999</v>
      </c>
      <c r="N36" s="22"/>
      <c r="O36" s="9" t="s">
        <v>1</v>
      </c>
      <c r="P36" s="4">
        <v>0.24909999999999999</v>
      </c>
      <c r="Q36" s="4">
        <v>6.0740999999999996</v>
      </c>
      <c r="R36" s="4">
        <v>2.8E-3</v>
      </c>
      <c r="S36" s="4">
        <v>0.2</v>
      </c>
      <c r="T36" s="4">
        <v>7.0195999999999996</v>
      </c>
      <c r="U36" s="4">
        <v>3.3999999999999998E-3</v>
      </c>
    </row>
    <row r="37" spans="2:21" x14ac:dyDescent="0.3">
      <c r="B37" s="22"/>
      <c r="C37" s="2" t="s">
        <v>2</v>
      </c>
      <c r="D37" s="4">
        <v>0.30430000000000001</v>
      </c>
      <c r="E37" s="4">
        <v>0.27989999999999998</v>
      </c>
      <c r="F37" s="4">
        <v>0</v>
      </c>
      <c r="G37" s="4">
        <v>0.28370000000000001</v>
      </c>
      <c r="H37" s="4">
        <v>0.3281</v>
      </c>
      <c r="I37" s="4">
        <v>0.30430000000000001</v>
      </c>
      <c r="J37" s="4">
        <v>105.0055</v>
      </c>
      <c r="K37" s="4">
        <v>53.212699999999998</v>
      </c>
      <c r="N37" s="22"/>
      <c r="O37" s="9" t="s">
        <v>2</v>
      </c>
      <c r="P37" s="4">
        <v>4.9500000000000002E-2</v>
      </c>
      <c r="Q37" s="4">
        <v>13.265000000000001</v>
      </c>
      <c r="R37" s="4">
        <v>0.37659999999999999</v>
      </c>
      <c r="S37" s="4">
        <v>4.6899999999999997E-2</v>
      </c>
      <c r="T37" s="4">
        <v>13.493600000000001</v>
      </c>
      <c r="U37" s="4">
        <v>0.35299999999999998</v>
      </c>
    </row>
    <row r="38" spans="2:21" x14ac:dyDescent="0.3">
      <c r="B38" s="22"/>
      <c r="C38" s="2" t="s">
        <v>3</v>
      </c>
      <c r="D38" s="4">
        <v>0.49469999999999997</v>
      </c>
      <c r="E38" s="4">
        <v>0.48959999999999998</v>
      </c>
      <c r="F38" s="4">
        <v>0</v>
      </c>
      <c r="G38" s="4">
        <v>0.49180000000000001</v>
      </c>
      <c r="H38" s="4">
        <v>0.49780000000000002</v>
      </c>
      <c r="I38" s="4">
        <v>0.49469999999999997</v>
      </c>
      <c r="J38" s="4">
        <v>77.753699999999995</v>
      </c>
      <c r="K38" s="4">
        <v>53.557699999999997</v>
      </c>
      <c r="N38" s="22"/>
      <c r="O38" s="9" t="s">
        <v>3</v>
      </c>
      <c r="P38" s="4">
        <v>0.16259999999999999</v>
      </c>
      <c r="Q38" s="4">
        <v>9.0335000000000001</v>
      </c>
      <c r="R38" s="4">
        <v>0.13930000000000001</v>
      </c>
      <c r="S38" s="4">
        <v>0.16209999999999999</v>
      </c>
      <c r="T38" s="4">
        <v>9.0588999999999995</v>
      </c>
      <c r="U38" s="4">
        <v>0.14050000000000001</v>
      </c>
    </row>
    <row r="39" spans="2:21" x14ac:dyDescent="0.3">
      <c r="B39" s="22"/>
      <c r="C39" s="2" t="s">
        <v>4</v>
      </c>
      <c r="D39" s="4">
        <v>0.46250000000000002</v>
      </c>
      <c r="E39" s="4">
        <v>0.42899999999999999</v>
      </c>
      <c r="F39" s="4">
        <v>1.1000000000000001E-3</v>
      </c>
      <c r="G39" s="4">
        <v>0.44</v>
      </c>
      <c r="H39" s="4">
        <v>0.49280000000000002</v>
      </c>
      <c r="I39" s="4">
        <v>0.46250000000000002</v>
      </c>
      <c r="J39" s="4">
        <v>72.343500000000006</v>
      </c>
      <c r="K39" s="4">
        <v>34.308999999999997</v>
      </c>
      <c r="N39" s="22"/>
      <c r="O39" s="9" t="s">
        <v>4</v>
      </c>
      <c r="P39" s="4">
        <v>0.22559999999999999</v>
      </c>
      <c r="Q39" s="4">
        <v>6.5666000000000002</v>
      </c>
      <c r="R39" s="4">
        <v>0.1</v>
      </c>
      <c r="S39" s="4">
        <v>0.1263</v>
      </c>
      <c r="T39" s="4">
        <v>9.0959000000000003</v>
      </c>
      <c r="U39" s="4">
        <v>2.2800000000000001E-2</v>
      </c>
    </row>
    <row r="40" spans="2:21" ht="3" customHeight="1" x14ac:dyDescent="0.3">
      <c r="B40" s="7"/>
      <c r="C40" s="1"/>
      <c r="D40" s="1"/>
      <c r="E40" s="1"/>
      <c r="F40" s="1"/>
      <c r="G40" s="1"/>
      <c r="H40" s="1"/>
      <c r="I40" s="1"/>
      <c r="J40" s="1"/>
      <c r="K40" s="1"/>
      <c r="N40" s="7"/>
      <c r="O40" s="1"/>
      <c r="P40" s="4"/>
      <c r="Q40" s="4"/>
      <c r="R40" s="4"/>
      <c r="S40" s="4"/>
      <c r="T40" s="4"/>
      <c r="U40" s="4"/>
    </row>
    <row r="41" spans="2:21" x14ac:dyDescent="0.3">
      <c r="B41" s="22" t="s">
        <v>21</v>
      </c>
      <c r="C41" s="2" t="s">
        <v>0</v>
      </c>
      <c r="D41" s="4">
        <v>0.2172</v>
      </c>
      <c r="E41" s="4">
        <v>0.16400000000000001</v>
      </c>
      <c r="F41" s="4">
        <v>3.7900000000000003E-2</v>
      </c>
      <c r="G41" s="4">
        <v>0.35020000000000001</v>
      </c>
      <c r="H41" s="4">
        <v>0.24970000000000001</v>
      </c>
      <c r="I41" s="4">
        <v>0.2172</v>
      </c>
      <c r="J41" s="4">
        <v>66.205100000000002</v>
      </c>
      <c r="K41" s="4">
        <v>26.964500000000001</v>
      </c>
      <c r="N41" s="22" t="s">
        <v>21</v>
      </c>
      <c r="O41" s="9" t="s">
        <v>0</v>
      </c>
      <c r="P41" s="4">
        <v>0.3337</v>
      </c>
      <c r="Q41" s="4">
        <v>4.9946000000000002</v>
      </c>
      <c r="R41" s="4">
        <v>6.9000000000000006E-2</v>
      </c>
      <c r="S41" s="4">
        <v>0.17050000000000001</v>
      </c>
      <c r="T41" s="4">
        <v>7.9362000000000004</v>
      </c>
      <c r="U41" s="4">
        <v>0.2301</v>
      </c>
    </row>
    <row r="42" spans="2:21" x14ac:dyDescent="0.3">
      <c r="B42" s="22"/>
      <c r="C42" s="2" t="s">
        <v>1</v>
      </c>
      <c r="D42" s="4">
        <v>0.61980000000000002</v>
      </c>
      <c r="E42" s="4">
        <v>0.503</v>
      </c>
      <c r="F42" s="4">
        <v>0.21820000000000001</v>
      </c>
      <c r="G42" s="4">
        <v>0.87519999999999998</v>
      </c>
      <c r="H42" s="4">
        <v>0.60860000000000003</v>
      </c>
      <c r="I42" s="4">
        <v>0.61980000000000002</v>
      </c>
      <c r="J42" s="4">
        <v>61.652500000000003</v>
      </c>
      <c r="K42" s="4">
        <v>18.819199999999999</v>
      </c>
      <c r="N42" s="22"/>
      <c r="O42" s="9" t="s">
        <v>1</v>
      </c>
      <c r="P42" s="4">
        <v>0.4728</v>
      </c>
      <c r="Q42" s="4">
        <v>3.3635999999999999</v>
      </c>
      <c r="R42" s="4">
        <v>7.6E-3</v>
      </c>
      <c r="S42" s="4">
        <v>0.47149999999999997</v>
      </c>
      <c r="T42" s="4">
        <v>3.3763000000000001</v>
      </c>
      <c r="U42" s="4">
        <v>7.6E-3</v>
      </c>
    </row>
    <row r="43" spans="2:21" x14ac:dyDescent="0.3">
      <c r="B43" s="22"/>
      <c r="C43" s="2" t="s">
        <v>2</v>
      </c>
      <c r="D43" s="4">
        <v>0.4199</v>
      </c>
      <c r="E43" s="4">
        <v>0.35149999999999998</v>
      </c>
      <c r="F43" s="4">
        <v>0.1019</v>
      </c>
      <c r="G43" s="4">
        <v>0.5766</v>
      </c>
      <c r="H43" s="4">
        <v>0.40529999999999999</v>
      </c>
      <c r="I43" s="4">
        <v>0.4199</v>
      </c>
      <c r="J43" s="4">
        <v>85.197999999999993</v>
      </c>
      <c r="K43" s="4">
        <v>26.945499999999999</v>
      </c>
      <c r="N43" s="22"/>
      <c r="O43" s="9" t="s">
        <v>2</v>
      </c>
      <c r="P43" s="4">
        <v>6.0290000000000003E-2</v>
      </c>
      <c r="Q43" s="4">
        <v>12.9847</v>
      </c>
      <c r="R43" s="4">
        <v>0.39250000000000002</v>
      </c>
      <c r="S43" s="4">
        <v>5.8900000000000001E-2</v>
      </c>
      <c r="T43" s="4">
        <v>13.0785</v>
      </c>
      <c r="U43" s="4">
        <v>0.36570000000000003</v>
      </c>
    </row>
    <row r="44" spans="2:21" x14ac:dyDescent="0.3">
      <c r="B44" s="22"/>
      <c r="C44" s="2" t="s">
        <v>3</v>
      </c>
      <c r="D44" s="4">
        <v>0.49590000000000001</v>
      </c>
      <c r="E44" s="4">
        <v>0.49180000000000001</v>
      </c>
      <c r="F44" s="4">
        <v>0</v>
      </c>
      <c r="G44" s="4">
        <v>0.49180000000000001</v>
      </c>
      <c r="H44" s="4">
        <v>0.5</v>
      </c>
      <c r="I44" s="4">
        <v>0.49590000000000001</v>
      </c>
      <c r="J44" s="4">
        <v>95.260400000000004</v>
      </c>
      <c r="K44" s="4">
        <v>40.435400000000001</v>
      </c>
      <c r="N44" s="22"/>
      <c r="O44" s="9" t="s">
        <v>3</v>
      </c>
      <c r="P44" s="4">
        <v>0.15859999999999999</v>
      </c>
      <c r="Q44" s="4">
        <v>9.2340999999999998</v>
      </c>
      <c r="R44" s="4">
        <v>0.14180000000000001</v>
      </c>
      <c r="S44" s="4">
        <v>0.1585</v>
      </c>
      <c r="T44" s="4">
        <v>9.2347999999999999</v>
      </c>
      <c r="U44" s="4">
        <v>0.1419</v>
      </c>
    </row>
    <row r="45" spans="2:21" x14ac:dyDescent="0.3">
      <c r="B45" s="22"/>
      <c r="C45" s="2" t="s">
        <v>4</v>
      </c>
      <c r="D45" s="4">
        <v>0.60199999999999998</v>
      </c>
      <c r="E45" s="4">
        <v>0.50339999999999996</v>
      </c>
      <c r="F45" s="4">
        <v>0.1726</v>
      </c>
      <c r="G45" s="4">
        <v>0.61809999999999998</v>
      </c>
      <c r="H45" s="4">
        <v>0.59219999999999995</v>
      </c>
      <c r="I45" s="4">
        <v>0.60199999999999998</v>
      </c>
      <c r="J45" s="4">
        <v>43.752600000000001</v>
      </c>
      <c r="K45" s="4">
        <v>12.004200000000001</v>
      </c>
      <c r="N45" s="22"/>
      <c r="O45" s="9" t="s">
        <v>4</v>
      </c>
      <c r="P45" s="4">
        <v>0.21870000000000001</v>
      </c>
      <c r="Q45" s="4">
        <v>6.7074999999999996</v>
      </c>
      <c r="R45" s="4">
        <v>0.12959999999999999</v>
      </c>
      <c r="S45" s="4">
        <v>0.15429999999999999</v>
      </c>
      <c r="T45" s="4">
        <v>8.2238000000000007</v>
      </c>
      <c r="U45" s="4">
        <v>0.14069999999999999</v>
      </c>
    </row>
    <row r="46" spans="2:21" ht="4.2" customHeight="1" x14ac:dyDescent="0.3">
      <c r="B46" s="7"/>
      <c r="C46" s="1"/>
      <c r="D46" s="1"/>
      <c r="E46" s="1"/>
      <c r="F46" s="1"/>
      <c r="G46" s="1"/>
      <c r="H46" s="1"/>
      <c r="I46" s="1"/>
      <c r="J46" s="1"/>
      <c r="K46" s="1"/>
      <c r="N46" s="7"/>
      <c r="O46" s="1"/>
      <c r="P46" s="4"/>
      <c r="Q46" s="4"/>
      <c r="R46" s="4"/>
      <c r="S46" s="4"/>
      <c r="T46" s="4"/>
      <c r="U46" s="4"/>
    </row>
    <row r="47" spans="2:21" x14ac:dyDescent="0.3">
      <c r="B47" s="22" t="s">
        <v>15</v>
      </c>
      <c r="C47" s="2" t="s">
        <v>0</v>
      </c>
      <c r="D47" s="4">
        <v>0.1784</v>
      </c>
      <c r="E47" s="4">
        <v>7.3899999999999993E-2</v>
      </c>
      <c r="F47" s="4">
        <v>4.1000000000000003E-3</v>
      </c>
      <c r="G47" s="4">
        <v>0.1598</v>
      </c>
      <c r="H47" s="4">
        <v>0.17749999999999999</v>
      </c>
      <c r="I47" s="4">
        <v>0.1517</v>
      </c>
      <c r="J47" s="4">
        <v>107.1397</v>
      </c>
      <c r="K47" s="4">
        <v>41.681100000000001</v>
      </c>
      <c r="N47" s="22" t="s">
        <v>15</v>
      </c>
      <c r="O47" s="9" t="s">
        <v>0</v>
      </c>
      <c r="P47" s="4">
        <v>0.43409999999999999</v>
      </c>
      <c r="Q47" s="4">
        <v>3.8206000000000002</v>
      </c>
      <c r="R47" s="4">
        <v>8.0000000000000004E-4</v>
      </c>
      <c r="S47" s="4">
        <v>0.2596</v>
      </c>
      <c r="T47" s="4">
        <v>6.4618000000000002</v>
      </c>
      <c r="U47" s="4">
        <v>9.6000000000000002E-2</v>
      </c>
    </row>
    <row r="48" spans="2:21" x14ac:dyDescent="0.3">
      <c r="B48" s="22"/>
      <c r="C48" s="2" t="s">
        <v>1</v>
      </c>
      <c r="D48" s="4">
        <v>0.47339999999999999</v>
      </c>
      <c r="E48" s="4">
        <v>0.51659999999999995</v>
      </c>
      <c r="F48" s="4">
        <v>0.2611</v>
      </c>
      <c r="G48" s="4">
        <v>0.50670000000000004</v>
      </c>
      <c r="H48" s="4">
        <v>0.51839999999999997</v>
      </c>
      <c r="I48" s="4">
        <v>0.36770000000000003</v>
      </c>
      <c r="J48" s="4">
        <v>9.6823399999999999</v>
      </c>
      <c r="K48" s="4">
        <v>53.124200000000002</v>
      </c>
      <c r="N48" s="22"/>
      <c r="O48" s="9" t="s">
        <v>1</v>
      </c>
      <c r="P48" s="4">
        <v>0.47120000000000001</v>
      </c>
      <c r="Q48" s="4">
        <v>3.3748999999999998</v>
      </c>
      <c r="R48" s="4">
        <v>8.9999999999999993E-3</v>
      </c>
      <c r="S48" s="4">
        <v>0.32940000000000003</v>
      </c>
      <c r="T48" s="4">
        <v>5.3118999999999996</v>
      </c>
      <c r="U48" s="4">
        <v>5.67E-2</v>
      </c>
    </row>
    <row r="49" spans="2:31" x14ac:dyDescent="0.3">
      <c r="B49" s="22"/>
      <c r="C49" s="2" t="s">
        <v>2</v>
      </c>
      <c r="D49" s="4">
        <v>0.1497</v>
      </c>
      <c r="E49" s="4">
        <v>0.29089999999999999</v>
      </c>
      <c r="F49" s="4">
        <v>1.46E-2</v>
      </c>
      <c r="G49" s="4">
        <v>0.28370000000000001</v>
      </c>
      <c r="H49" s="4">
        <v>0.31430000000000002</v>
      </c>
      <c r="I49" s="4">
        <v>0.31430000000000002</v>
      </c>
      <c r="J49" s="4">
        <v>103.0055</v>
      </c>
      <c r="K49" s="4">
        <v>54.212699999999998</v>
      </c>
      <c r="N49" s="22"/>
      <c r="O49" s="9" t="s">
        <v>2</v>
      </c>
      <c r="P49" s="4">
        <v>3.1800000000000002E-2</v>
      </c>
      <c r="Q49" s="4">
        <v>15.29</v>
      </c>
      <c r="R49" s="4">
        <v>0.3926</v>
      </c>
      <c r="S49" s="4">
        <v>1.38E-2</v>
      </c>
      <c r="T49" s="4">
        <v>18.840299999999999</v>
      </c>
      <c r="U49" s="4">
        <v>0.30320000000000003</v>
      </c>
    </row>
    <row r="50" spans="2:31" x14ac:dyDescent="0.3">
      <c r="B50" s="22"/>
      <c r="C50" s="2" t="s">
        <v>3</v>
      </c>
      <c r="D50" s="4">
        <v>0.49490000000000001</v>
      </c>
      <c r="E50" s="4">
        <v>0.4864</v>
      </c>
      <c r="F50" s="4">
        <v>1.6000000000000001E-3</v>
      </c>
      <c r="G50" s="4">
        <v>0.49180000000000001</v>
      </c>
      <c r="H50" s="4">
        <v>0.49919999999999998</v>
      </c>
      <c r="I50" s="4">
        <v>0.49430000000000002</v>
      </c>
      <c r="J50" s="4">
        <v>76.753699999999995</v>
      </c>
      <c r="K50" s="4">
        <v>55.557699999999997</v>
      </c>
      <c r="N50" s="22"/>
      <c r="O50" s="9" t="s">
        <v>3</v>
      </c>
      <c r="P50" s="4">
        <v>0.1691</v>
      </c>
      <c r="Q50" s="4">
        <v>8.6786999999999992</v>
      </c>
      <c r="R50" s="4">
        <v>0.1273</v>
      </c>
      <c r="S50" s="4">
        <v>0.1118</v>
      </c>
      <c r="T50" s="4">
        <v>10.1737</v>
      </c>
      <c r="U50" s="4">
        <v>6.3E-2</v>
      </c>
    </row>
    <row r="51" spans="2:31" x14ac:dyDescent="0.3">
      <c r="B51" s="22"/>
      <c r="C51" s="2" t="s">
        <v>4</v>
      </c>
      <c r="D51" s="4">
        <v>0.51270000000000004</v>
      </c>
      <c r="E51" s="4">
        <v>0.43519999999999998</v>
      </c>
      <c r="F51" s="4">
        <v>2.8E-3</v>
      </c>
      <c r="G51" s="4">
        <v>0.44</v>
      </c>
      <c r="H51" s="4">
        <v>0.49540000000000001</v>
      </c>
      <c r="I51" s="4">
        <v>0.48209999999999997</v>
      </c>
      <c r="J51" s="4">
        <v>70.343500000000006</v>
      </c>
      <c r="K51" s="4">
        <v>31.309000000000001</v>
      </c>
      <c r="N51" s="22"/>
      <c r="O51" s="9" t="s">
        <v>4</v>
      </c>
      <c r="P51" s="4">
        <v>0.21890000000000001</v>
      </c>
      <c r="Q51" s="4">
        <v>6.7080000000000002</v>
      </c>
      <c r="R51" s="4">
        <v>0.1124</v>
      </c>
      <c r="S51" s="4">
        <v>0.1628</v>
      </c>
      <c r="T51" s="4">
        <v>7.9931000000000001</v>
      </c>
      <c r="U51" s="4">
        <v>9.8000000000000004E-2</v>
      </c>
    </row>
    <row r="52" spans="2:31" ht="3.6" customHeight="1" x14ac:dyDescent="0.3">
      <c r="B52" s="7"/>
      <c r="C52" s="1"/>
      <c r="D52" s="1"/>
      <c r="E52" s="1"/>
      <c r="F52" s="1"/>
      <c r="G52" s="1"/>
      <c r="H52" s="1"/>
      <c r="I52" s="1"/>
      <c r="J52" s="1"/>
      <c r="K52" s="1"/>
      <c r="N52" s="7"/>
      <c r="O52" s="1"/>
      <c r="P52" s="4"/>
      <c r="Q52" s="4"/>
      <c r="R52" s="4"/>
      <c r="S52" s="4"/>
      <c r="T52" s="4"/>
      <c r="U52" s="4"/>
    </row>
    <row r="53" spans="2:31" x14ac:dyDescent="0.3">
      <c r="B53" s="22" t="s">
        <v>14</v>
      </c>
      <c r="C53" s="2" t="s">
        <v>0</v>
      </c>
      <c r="D53" s="2">
        <v>0.72760000000000002</v>
      </c>
      <c r="E53" s="2">
        <v>0.57440000000000002</v>
      </c>
      <c r="F53" s="2">
        <v>0.55559999999999998</v>
      </c>
      <c r="G53" s="2">
        <v>0.7389</v>
      </c>
      <c r="H53" s="2">
        <v>0.72099999999999997</v>
      </c>
      <c r="I53" s="2">
        <v>0.72760000000000002</v>
      </c>
      <c r="J53" s="2">
        <v>45.729900000000001</v>
      </c>
      <c r="K53" s="2">
        <v>6.7168999999999999</v>
      </c>
      <c r="N53" s="22" t="s">
        <v>14</v>
      </c>
      <c r="O53" s="9" t="s">
        <v>0</v>
      </c>
      <c r="P53" s="4">
        <v>0.43009999999999998</v>
      </c>
      <c r="Q53" s="4">
        <v>35.263500000000001</v>
      </c>
      <c r="R53" s="4">
        <v>0.78959999999999997</v>
      </c>
      <c r="S53" s="4">
        <v>0.1104</v>
      </c>
      <c r="T53" s="4">
        <v>35.5443</v>
      </c>
      <c r="U53" s="4">
        <v>0.74829999999999997</v>
      </c>
    </row>
    <row r="54" spans="2:31" x14ac:dyDescent="0.3">
      <c r="B54" s="22"/>
      <c r="C54" s="2" t="s">
        <v>1</v>
      </c>
      <c r="D54" s="2">
        <v>0.92849999999999999</v>
      </c>
      <c r="E54" s="2">
        <v>0.86850000000000005</v>
      </c>
      <c r="F54" s="2">
        <v>0.80679999999999996</v>
      </c>
      <c r="G54" s="2">
        <v>0.93010000000000004</v>
      </c>
      <c r="H54" s="2">
        <v>0.92689999999999995</v>
      </c>
      <c r="I54" s="2">
        <v>0.92849999999999999</v>
      </c>
      <c r="J54" s="2">
        <v>26.008299999999998</v>
      </c>
      <c r="K54" s="2">
        <v>3.8355000000000001</v>
      </c>
      <c r="N54" s="22"/>
      <c r="O54" s="9" t="s">
        <v>1</v>
      </c>
      <c r="P54" s="4">
        <v>0.2379</v>
      </c>
      <c r="Q54" s="4">
        <v>32.752800000000001</v>
      </c>
      <c r="R54" s="4">
        <v>0.46660000000000001</v>
      </c>
      <c r="S54" s="4">
        <v>7.1139999999999995E-2</v>
      </c>
      <c r="T54" s="4">
        <v>40.285299999999999</v>
      </c>
      <c r="U54" s="4">
        <v>0.76439999999999997</v>
      </c>
    </row>
    <row r="55" spans="2:31" x14ac:dyDescent="0.3">
      <c r="B55" s="22"/>
      <c r="C55" s="2" t="s">
        <v>2</v>
      </c>
      <c r="D55" s="2">
        <v>0.83079999999999998</v>
      </c>
      <c r="E55" s="2">
        <v>0.7258</v>
      </c>
      <c r="F55" s="2">
        <v>0.62029999999999996</v>
      </c>
      <c r="G55" s="2">
        <v>0.86660000000000004</v>
      </c>
      <c r="H55" s="2">
        <v>0.81640000000000001</v>
      </c>
      <c r="I55" s="2">
        <v>0.83079999999999998</v>
      </c>
      <c r="J55" s="2">
        <v>47.908900000000003</v>
      </c>
      <c r="K55" s="2">
        <v>8.8149999999999995</v>
      </c>
      <c r="N55" s="22"/>
      <c r="O55" s="9" t="s">
        <v>2</v>
      </c>
      <c r="P55" s="4">
        <v>0.31359999999999999</v>
      </c>
      <c r="Q55" s="4">
        <v>38.559800000000003</v>
      </c>
      <c r="R55" s="4">
        <v>0.76980000000000004</v>
      </c>
      <c r="S55" s="4">
        <v>8.2400000000000001E-2</v>
      </c>
      <c r="T55" s="4">
        <v>40.298299999999998</v>
      </c>
      <c r="U55" s="4">
        <v>0.81599999999999995</v>
      </c>
    </row>
    <row r="56" spans="2:31" x14ac:dyDescent="0.3">
      <c r="B56" s="22"/>
      <c r="C56" s="2" t="s">
        <v>3</v>
      </c>
      <c r="D56" s="2">
        <v>0.80230000000000001</v>
      </c>
      <c r="E56" s="2">
        <v>0.71279999999999999</v>
      </c>
      <c r="F56" s="2">
        <v>0.44159999999999999</v>
      </c>
      <c r="G56" s="2">
        <v>0.75470000000000004</v>
      </c>
      <c r="H56" s="2">
        <v>0.87360000000000004</v>
      </c>
      <c r="I56" s="2">
        <v>0.80230000000000001</v>
      </c>
      <c r="J56" s="2">
        <v>28.8339</v>
      </c>
      <c r="K56" s="2">
        <v>5.0030000000000001</v>
      </c>
      <c r="N56" s="22"/>
      <c r="O56" s="9" t="s">
        <v>3</v>
      </c>
      <c r="P56" s="4">
        <v>0.42180000000000001</v>
      </c>
      <c r="Q56" s="4">
        <v>36.594099999999997</v>
      </c>
      <c r="R56" s="4">
        <v>0.66339999999999999</v>
      </c>
      <c r="S56" s="4">
        <v>0.1186</v>
      </c>
      <c r="T56" s="4">
        <v>35.708599999999997</v>
      </c>
      <c r="U56" s="4">
        <v>0.74199999999999999</v>
      </c>
    </row>
    <row r="57" spans="2:31" x14ac:dyDescent="0.3">
      <c r="B57" s="22"/>
      <c r="C57" s="2" t="s">
        <v>4</v>
      </c>
      <c r="D57" s="2">
        <v>0.7903</v>
      </c>
      <c r="E57" s="2">
        <v>0.68010000000000004</v>
      </c>
      <c r="F57" s="2">
        <v>0.46800000000000003</v>
      </c>
      <c r="G57" s="2">
        <v>0.78</v>
      </c>
      <c r="H57" s="2">
        <v>0.80200000000000005</v>
      </c>
      <c r="I57" s="2">
        <v>0.7903</v>
      </c>
      <c r="J57" s="2">
        <v>37.761699999999998</v>
      </c>
      <c r="K57" s="2">
        <v>6.6464999999999996</v>
      </c>
      <c r="N57" s="22"/>
      <c r="O57" s="9" t="s">
        <v>4</v>
      </c>
      <c r="P57" s="4">
        <v>0.2656</v>
      </c>
      <c r="Q57" s="4">
        <v>34.302399999999999</v>
      </c>
      <c r="R57" s="4">
        <v>0.56059999999999999</v>
      </c>
      <c r="S57" s="4">
        <v>9.2299999999999993E-2</v>
      </c>
      <c r="T57" s="4">
        <v>38.277099999999997</v>
      </c>
      <c r="U57" s="4">
        <v>0.75649999999999995</v>
      </c>
    </row>
    <row r="59" spans="2:31" x14ac:dyDescent="0.3">
      <c r="X59">
        <v>0.81120000000000003</v>
      </c>
      <c r="Y59">
        <v>0.54090000000000005</v>
      </c>
      <c r="Z59">
        <v>0.6966</v>
      </c>
      <c r="AA59">
        <v>0.87719999999999998</v>
      </c>
      <c r="AB59">
        <v>0.77829999999999999</v>
      </c>
      <c r="AC59">
        <v>0.81120000000000003</v>
      </c>
      <c r="AD59">
        <v>29.004899999999999</v>
      </c>
      <c r="AE59">
        <v>5.5507999999999997</v>
      </c>
    </row>
    <row r="60" spans="2:31" x14ac:dyDescent="0.3">
      <c r="X60">
        <v>0.81120000000000003</v>
      </c>
      <c r="Y60">
        <v>0.54090000000000005</v>
      </c>
      <c r="Z60">
        <v>0.6966</v>
      </c>
      <c r="AA60">
        <v>0.87719999999999998</v>
      </c>
      <c r="AB60">
        <v>0.77829999999999999</v>
      </c>
      <c r="AC60">
        <v>0.81120000000000003</v>
      </c>
      <c r="AD60">
        <v>29.004899999999999</v>
      </c>
      <c r="AE60">
        <v>5.5507999999999997</v>
      </c>
    </row>
    <row r="61" spans="2:31" x14ac:dyDescent="0.3">
      <c r="X61">
        <v>0.6532</v>
      </c>
      <c r="Y61">
        <v>0.38240000000000002</v>
      </c>
      <c r="Z61">
        <v>0.56610000000000005</v>
      </c>
      <c r="AA61">
        <v>0.84509999999999996</v>
      </c>
      <c r="AB61">
        <v>0.59540000000000004</v>
      </c>
      <c r="AC61">
        <v>0.6532</v>
      </c>
      <c r="AD61">
        <v>31.1708</v>
      </c>
      <c r="AE61">
        <v>7.0384000000000002</v>
      </c>
    </row>
    <row r="62" spans="2:31" x14ac:dyDescent="0.3">
      <c r="D62" s="23"/>
      <c r="E62" s="23"/>
      <c r="F62" s="23"/>
      <c r="X62">
        <v>0.50139999999999996</v>
      </c>
      <c r="Y62">
        <v>5.7000000000000002E-3</v>
      </c>
      <c r="Z62">
        <v>0.49440000000000001</v>
      </c>
      <c r="AA62">
        <v>0.56369999999999998</v>
      </c>
      <c r="AB62">
        <v>0.50270000000000004</v>
      </c>
      <c r="AC62">
        <v>0.50139999999999996</v>
      </c>
      <c r="AD62">
        <v>82.687600000000003</v>
      </c>
      <c r="AE62">
        <v>36.6464</v>
      </c>
    </row>
    <row r="63" spans="2:31" x14ac:dyDescent="0.3">
      <c r="X63">
        <v>0.62350000000000005</v>
      </c>
      <c r="Y63">
        <v>0.21149999999999999</v>
      </c>
      <c r="Z63">
        <v>0.5131</v>
      </c>
      <c r="AA63">
        <v>0.61929999999999996</v>
      </c>
      <c r="AB63">
        <v>0.62849999999999995</v>
      </c>
      <c r="AC63">
        <v>0.62350000000000005</v>
      </c>
      <c r="AD63">
        <v>56.785400000000003</v>
      </c>
      <c r="AE63">
        <v>18.2882</v>
      </c>
    </row>
    <row r="64" spans="2:31" x14ac:dyDescent="0.3">
      <c r="B64" s="23"/>
      <c r="X64">
        <f>AVERAGE(X59:X63)</f>
        <v>0.68009999999999993</v>
      </c>
      <c r="Y64">
        <f t="shared" ref="Y64:AE64" si="0">AVERAGE(Y59:Y63)</f>
        <v>0.33628000000000002</v>
      </c>
      <c r="Z64">
        <f t="shared" si="0"/>
        <v>0.59336</v>
      </c>
      <c r="AA64">
        <f t="shared" si="0"/>
        <v>0.75649999999999995</v>
      </c>
      <c r="AB64">
        <f t="shared" si="0"/>
        <v>0.65664</v>
      </c>
      <c r="AC64">
        <f t="shared" si="0"/>
        <v>0.68009999999999993</v>
      </c>
      <c r="AD64">
        <f t="shared" si="0"/>
        <v>45.730720000000005</v>
      </c>
      <c r="AE64">
        <f t="shared" si="0"/>
        <v>14.614920000000001</v>
      </c>
    </row>
    <row r="65" spans="2:31" x14ac:dyDescent="0.3">
      <c r="B65" s="23"/>
      <c r="N65" s="3" t="s">
        <v>23</v>
      </c>
      <c r="O65" s="3" t="s">
        <v>5</v>
      </c>
      <c r="P65" s="3" t="s">
        <v>6</v>
      </c>
      <c r="Q65" s="3" t="s">
        <v>7</v>
      </c>
      <c r="R65" s="3" t="s">
        <v>8</v>
      </c>
      <c r="S65" s="3" t="s">
        <v>9</v>
      </c>
      <c r="T65" s="3" t="s">
        <v>10</v>
      </c>
      <c r="U65" s="3" t="s">
        <v>11</v>
      </c>
      <c r="V65" s="3" t="s">
        <v>12</v>
      </c>
    </row>
    <row r="66" spans="2:31" x14ac:dyDescent="0.3">
      <c r="B66" s="23"/>
      <c r="N66" s="13" t="s">
        <v>30</v>
      </c>
      <c r="O66" s="14">
        <v>0.39360000000000001</v>
      </c>
      <c r="P66" s="14">
        <v>0.3669</v>
      </c>
      <c r="Q66" s="14">
        <v>4.4999999999999998E-2</v>
      </c>
      <c r="R66" s="14">
        <v>0.54700000000000004</v>
      </c>
      <c r="S66" s="14">
        <v>0.43509999999999999</v>
      </c>
      <c r="T66" s="14">
        <v>0.41499999999999998</v>
      </c>
      <c r="U66" s="14">
        <v>78.910899999999998</v>
      </c>
      <c r="V66" s="15">
        <v>31.017600000000002</v>
      </c>
    </row>
    <row r="67" spans="2:31" x14ac:dyDescent="0.3">
      <c r="B67" s="23"/>
      <c r="N67" s="16" t="s">
        <v>31</v>
      </c>
      <c r="O67" s="17">
        <v>0.81589999999999996</v>
      </c>
      <c r="P67" s="17">
        <v>0.71230000000000004</v>
      </c>
      <c r="Q67" s="17">
        <v>0.57850000000000001</v>
      </c>
      <c r="R67" s="17">
        <v>0.81410000000000005</v>
      </c>
      <c r="S67" s="17">
        <v>0.82799999999999996</v>
      </c>
      <c r="T67" s="17">
        <v>0.81589999999999996</v>
      </c>
      <c r="U67" s="17">
        <v>37.2485</v>
      </c>
      <c r="V67" s="18">
        <v>6.2030000000000003</v>
      </c>
      <c r="X67">
        <v>0.90910000000000002</v>
      </c>
      <c r="Y67">
        <v>0.80979999999999996</v>
      </c>
      <c r="Z67">
        <v>0.83579999999999999</v>
      </c>
      <c r="AA67">
        <v>0.9073</v>
      </c>
      <c r="AB67">
        <v>0.91169999999999995</v>
      </c>
      <c r="AC67">
        <v>0.90910000000000002</v>
      </c>
      <c r="AD67">
        <v>13.2004</v>
      </c>
      <c r="AE67">
        <v>1.9491000000000001</v>
      </c>
    </row>
    <row r="68" spans="2:31" x14ac:dyDescent="0.3">
      <c r="B68" s="23"/>
      <c r="N68" s="13" t="s">
        <v>32</v>
      </c>
      <c r="O68" s="14">
        <v>0.68009999999999993</v>
      </c>
      <c r="P68" s="14">
        <v>0.33628000000000002</v>
      </c>
      <c r="Q68" s="14">
        <v>0.59336</v>
      </c>
      <c r="R68" s="14">
        <v>0.75649999999999995</v>
      </c>
      <c r="S68" s="14">
        <v>0.65664</v>
      </c>
      <c r="T68" s="14">
        <v>0.68009999999999993</v>
      </c>
      <c r="U68" s="14">
        <v>45.730720000000005</v>
      </c>
      <c r="V68" s="15">
        <v>14.614920000000001</v>
      </c>
      <c r="X68">
        <v>0.94979999999999998</v>
      </c>
      <c r="Y68">
        <v>0.86099999999999999</v>
      </c>
      <c r="Z68">
        <v>0.90549999999999997</v>
      </c>
      <c r="AA68">
        <v>0.94779999999999998</v>
      </c>
      <c r="AB68">
        <v>0.95189999999999997</v>
      </c>
      <c r="AC68">
        <v>0.94979999999999998</v>
      </c>
      <c r="AD68">
        <v>11.921200000000001</v>
      </c>
      <c r="AE68">
        <v>1.8098000000000001</v>
      </c>
    </row>
    <row r="69" spans="2:31" x14ac:dyDescent="0.3">
      <c r="N69" s="16" t="s">
        <v>33</v>
      </c>
      <c r="O69" s="17">
        <v>0.90854000000000001</v>
      </c>
      <c r="P69" s="17">
        <v>0.75150000000000006</v>
      </c>
      <c r="Q69" s="17">
        <v>0.84155999999999997</v>
      </c>
      <c r="R69" s="17">
        <v>0.91805999999999999</v>
      </c>
      <c r="S69" s="17">
        <v>0.90123999999999993</v>
      </c>
      <c r="T69" s="17">
        <v>0.90854000000000001</v>
      </c>
      <c r="U69" s="17">
        <v>20.47458</v>
      </c>
      <c r="V69" s="18">
        <v>3.3384</v>
      </c>
      <c r="X69">
        <v>0.92200000000000004</v>
      </c>
      <c r="Y69">
        <v>0.80389999999999995</v>
      </c>
      <c r="Z69">
        <v>0.8629</v>
      </c>
      <c r="AA69">
        <v>0.9405</v>
      </c>
      <c r="AB69">
        <v>0.90580000000000005</v>
      </c>
      <c r="AC69">
        <v>0.92200000000000004</v>
      </c>
      <c r="AD69">
        <v>38.040799999999997</v>
      </c>
      <c r="AE69">
        <v>6.1170999999999998</v>
      </c>
    </row>
    <row r="70" spans="2:31" x14ac:dyDescent="0.3">
      <c r="B70" s="23"/>
      <c r="N70" s="13" t="s">
        <v>34</v>
      </c>
      <c r="O70" s="14">
        <v>0.39364000000000005</v>
      </c>
      <c r="P70" s="14">
        <v>0.36686000000000002</v>
      </c>
      <c r="Q70" s="14">
        <v>4.4999999999999998E-2</v>
      </c>
      <c r="R70" s="14">
        <v>0.54701999999999995</v>
      </c>
      <c r="S70" s="14">
        <v>0.43512000000000006</v>
      </c>
      <c r="T70" s="14">
        <v>0.41500000000000004</v>
      </c>
      <c r="U70" s="14">
        <v>78.91086</v>
      </c>
      <c r="V70" s="15">
        <v>31.017599999999998</v>
      </c>
      <c r="X70">
        <v>0.89639999999999997</v>
      </c>
      <c r="Y70">
        <v>0.66090000000000004</v>
      </c>
      <c r="Z70">
        <v>0.82740000000000002</v>
      </c>
      <c r="AA70">
        <v>0.93830000000000002</v>
      </c>
      <c r="AB70">
        <v>0.86160000000000003</v>
      </c>
      <c r="AC70">
        <v>0.89639999999999997</v>
      </c>
      <c r="AD70">
        <v>9.9301999999999992</v>
      </c>
      <c r="AE70">
        <v>1.7974000000000001</v>
      </c>
    </row>
    <row r="71" spans="2:31" x14ac:dyDescent="0.3">
      <c r="B71" s="23"/>
      <c r="N71" s="16" t="s">
        <v>35</v>
      </c>
      <c r="O71" s="17">
        <v>0.7331200000000001</v>
      </c>
      <c r="P71" s="17">
        <v>0.47008</v>
      </c>
      <c r="Q71" s="17">
        <v>0.62636000000000003</v>
      </c>
      <c r="R71" s="17">
        <v>0.76016000000000006</v>
      </c>
      <c r="S71" s="17">
        <v>0.77085999999999999</v>
      </c>
      <c r="T71" s="17">
        <v>0.7331200000000001</v>
      </c>
      <c r="U71" s="17">
        <v>44.571979999999996</v>
      </c>
      <c r="V71" s="18">
        <v>10.546100000000001</v>
      </c>
      <c r="X71">
        <v>0.86539999999999995</v>
      </c>
      <c r="Y71">
        <v>0.62190000000000001</v>
      </c>
      <c r="Z71">
        <v>0.7762</v>
      </c>
      <c r="AA71">
        <v>0.85640000000000005</v>
      </c>
      <c r="AB71">
        <v>0.87519999999999998</v>
      </c>
      <c r="AC71">
        <v>0.86539999999999995</v>
      </c>
      <c r="AD71">
        <v>29.2803</v>
      </c>
      <c r="AE71">
        <v>5.0186000000000002</v>
      </c>
    </row>
    <row r="72" spans="2:31" x14ac:dyDescent="0.3">
      <c r="B72" s="23"/>
      <c r="X72">
        <f>AVERAGE(X67:X71)</f>
        <v>0.90854000000000001</v>
      </c>
      <c r="Y72">
        <f t="shared" ref="Y72" si="1">AVERAGE(Y67:Y71)</f>
        <v>0.75150000000000006</v>
      </c>
      <c r="Z72">
        <f t="shared" ref="Z72" si="2">AVERAGE(Z67:Z71)</f>
        <v>0.84155999999999997</v>
      </c>
      <c r="AA72">
        <f t="shared" ref="AA72" si="3">AVERAGE(AA67:AA71)</f>
        <v>0.91805999999999999</v>
      </c>
      <c r="AB72">
        <f t="shared" ref="AB72" si="4">AVERAGE(AB67:AB71)</f>
        <v>0.90123999999999993</v>
      </c>
      <c r="AC72">
        <f t="shared" ref="AC72" si="5">AVERAGE(AC67:AC71)</f>
        <v>0.90854000000000001</v>
      </c>
      <c r="AD72">
        <f t="shared" ref="AD72" si="6">AVERAGE(AD67:AD71)</f>
        <v>20.47458</v>
      </c>
      <c r="AE72">
        <f t="shared" ref="AE72" si="7">AVERAGE(AE67:AE71)</f>
        <v>3.3384</v>
      </c>
    </row>
    <row r="73" spans="2:31" x14ac:dyDescent="0.3">
      <c r="B73" s="23"/>
    </row>
    <row r="74" spans="2:31" x14ac:dyDescent="0.3">
      <c r="B74" s="23"/>
    </row>
    <row r="76" spans="2:31" x14ac:dyDescent="0.3">
      <c r="X76">
        <v>0.215</v>
      </c>
      <c r="Y76">
        <v>0.1542</v>
      </c>
      <c r="Z76">
        <v>4.4400000000000002E-2</v>
      </c>
      <c r="AA76">
        <v>0.26440000000000002</v>
      </c>
      <c r="AB76">
        <v>0.25700000000000001</v>
      </c>
      <c r="AC76">
        <v>0.215</v>
      </c>
      <c r="AD76">
        <v>69.301100000000005</v>
      </c>
      <c r="AE76">
        <v>24.389399999999998</v>
      </c>
    </row>
    <row r="77" spans="2:31" x14ac:dyDescent="0.3">
      <c r="X77">
        <v>0.46860000000000002</v>
      </c>
      <c r="Y77">
        <v>0.46860000000000002</v>
      </c>
      <c r="Z77">
        <v>0.1605</v>
      </c>
      <c r="AA77">
        <v>0.87570000000000003</v>
      </c>
      <c r="AB77">
        <v>0.57989999999999997</v>
      </c>
      <c r="AC77">
        <v>0.57540000000000002</v>
      </c>
      <c r="AD77">
        <v>71.003900000000002</v>
      </c>
      <c r="AE77">
        <v>22.846699999999998</v>
      </c>
    </row>
    <row r="78" spans="2:31" x14ac:dyDescent="0.3">
      <c r="X78">
        <v>0.31619999999999998</v>
      </c>
      <c r="Y78">
        <v>0.28920000000000001</v>
      </c>
      <c r="Z78">
        <v>6.8999999999999999E-3</v>
      </c>
      <c r="AA78">
        <v>0.63390000000000002</v>
      </c>
      <c r="AB78">
        <v>0.3377</v>
      </c>
      <c r="AC78">
        <v>0.31619999999999998</v>
      </c>
      <c r="AD78">
        <v>110.5462</v>
      </c>
      <c r="AE78">
        <v>41.626199999999997</v>
      </c>
    </row>
    <row r="79" spans="2:31" x14ac:dyDescent="0.3">
      <c r="X79">
        <v>0.50260000000000005</v>
      </c>
      <c r="Y79">
        <v>0.48849999999999999</v>
      </c>
      <c r="Z79">
        <v>1.15E-2</v>
      </c>
      <c r="AA79">
        <v>0.50239999999999996</v>
      </c>
      <c r="AB79">
        <v>0.50280000000000002</v>
      </c>
      <c r="AC79">
        <v>0.50260000000000005</v>
      </c>
      <c r="AD79">
        <v>75.421700000000001</v>
      </c>
      <c r="AE79">
        <v>33.196800000000003</v>
      </c>
    </row>
    <row r="80" spans="2:31" x14ac:dyDescent="0.3">
      <c r="X80">
        <v>0.46579999999999999</v>
      </c>
      <c r="Y80">
        <v>0.43380000000000002</v>
      </c>
      <c r="Z80">
        <v>1.6999999999999999E-3</v>
      </c>
      <c r="AA80">
        <v>0.4587</v>
      </c>
      <c r="AB80">
        <v>0.49819999999999998</v>
      </c>
      <c r="AC80">
        <v>0.46579999999999999</v>
      </c>
      <c r="AD80">
        <v>68.281400000000005</v>
      </c>
      <c r="AE80">
        <v>33.0289</v>
      </c>
    </row>
    <row r="81" spans="24:31" x14ac:dyDescent="0.3">
      <c r="X81">
        <f>AVERAGE(X76:X80)</f>
        <v>0.39364000000000005</v>
      </c>
      <c r="Y81">
        <f t="shared" ref="Y81" si="8">AVERAGE(Y76:Y80)</f>
        <v>0.36686000000000002</v>
      </c>
      <c r="Z81">
        <f t="shared" ref="Z81" si="9">AVERAGE(Z76:Z80)</f>
        <v>4.4999999999999998E-2</v>
      </c>
      <c r="AA81">
        <f t="shared" ref="AA81" si="10">AVERAGE(AA76:AA80)</f>
        <v>0.54701999999999995</v>
      </c>
      <c r="AB81">
        <f t="shared" ref="AB81" si="11">AVERAGE(AB76:AB80)</f>
        <v>0.43512000000000006</v>
      </c>
      <c r="AC81">
        <f t="shared" ref="AC81" si="12">AVERAGE(AC76:AC80)</f>
        <v>0.41500000000000004</v>
      </c>
      <c r="AD81">
        <f t="shared" ref="AD81" si="13">AVERAGE(AD76:AD80)</f>
        <v>78.91086</v>
      </c>
      <c r="AE81">
        <f t="shared" ref="AE81" si="14">AVERAGE(AE76:AE80)</f>
        <v>31.017599999999998</v>
      </c>
    </row>
    <row r="84" spans="24:31" x14ac:dyDescent="0.3">
      <c r="X84">
        <v>0.60550000000000004</v>
      </c>
      <c r="Y84">
        <v>0.42130000000000001</v>
      </c>
      <c r="Z84">
        <v>0.43709999999999999</v>
      </c>
      <c r="AA84">
        <v>0.59350000000000003</v>
      </c>
      <c r="AB84">
        <v>0.64710000000000001</v>
      </c>
      <c r="AC84">
        <v>0.60550000000000004</v>
      </c>
      <c r="AD84">
        <v>50.975299999999997</v>
      </c>
      <c r="AE84">
        <v>9.8406000000000002</v>
      </c>
    </row>
    <row r="85" spans="24:31" x14ac:dyDescent="0.3">
      <c r="X85">
        <v>0.92459999999999998</v>
      </c>
      <c r="Y85">
        <v>0.80010000000000003</v>
      </c>
      <c r="Z85">
        <v>0.86180000000000001</v>
      </c>
      <c r="AA85">
        <v>0.9153</v>
      </c>
      <c r="AB85">
        <v>0.93530000000000002</v>
      </c>
      <c r="AC85">
        <v>0.92459999999999998</v>
      </c>
      <c r="AD85">
        <v>16.116599999999998</v>
      </c>
      <c r="AE85">
        <v>2.6597</v>
      </c>
    </row>
    <row r="86" spans="24:31" x14ac:dyDescent="0.3">
      <c r="X86">
        <v>0.68740000000000001</v>
      </c>
      <c r="Y86">
        <v>0.43469999999999998</v>
      </c>
      <c r="Z86">
        <v>0.60460000000000003</v>
      </c>
      <c r="AA86">
        <v>0.90980000000000005</v>
      </c>
      <c r="AB86">
        <v>0.67720000000000002</v>
      </c>
      <c r="AC86">
        <v>0.68740000000000001</v>
      </c>
      <c r="AD86">
        <v>67.029700000000005</v>
      </c>
      <c r="AE86">
        <v>16.173200000000001</v>
      </c>
    </row>
    <row r="87" spans="24:31" x14ac:dyDescent="0.3">
      <c r="X87">
        <v>0.77229999999999999</v>
      </c>
      <c r="Y87">
        <v>0.3831</v>
      </c>
      <c r="Z87">
        <v>0.68230000000000002</v>
      </c>
      <c r="AA87">
        <v>0.72840000000000005</v>
      </c>
      <c r="AB87">
        <v>0.83919999999999995</v>
      </c>
      <c r="AC87">
        <v>0.77229999999999999</v>
      </c>
      <c r="AD87">
        <v>32.613799999999998</v>
      </c>
      <c r="AE87">
        <v>10.3559</v>
      </c>
    </row>
    <row r="88" spans="24:31" x14ac:dyDescent="0.3">
      <c r="X88">
        <v>0.67579999999999996</v>
      </c>
      <c r="Y88">
        <v>0.31119999999999998</v>
      </c>
      <c r="Z88">
        <v>0.54600000000000004</v>
      </c>
      <c r="AA88">
        <v>0.65380000000000005</v>
      </c>
      <c r="AB88">
        <v>0.75549999999999995</v>
      </c>
      <c r="AC88">
        <v>0.67579999999999996</v>
      </c>
      <c r="AD88">
        <v>56.124499999999998</v>
      </c>
      <c r="AE88">
        <v>13.7011</v>
      </c>
    </row>
    <row r="89" spans="24:31" x14ac:dyDescent="0.3">
      <c r="X89">
        <f>AVERAGE(X84:X88)</f>
        <v>0.7331200000000001</v>
      </c>
      <c r="Y89">
        <f t="shared" ref="Y89" si="15">AVERAGE(Y84:Y88)</f>
        <v>0.47008</v>
      </c>
      <c r="Z89">
        <f t="shared" ref="Z89" si="16">AVERAGE(Z84:Z88)</f>
        <v>0.62636000000000003</v>
      </c>
      <c r="AA89">
        <f t="shared" ref="AA89" si="17">AVERAGE(AA84:AA88)</f>
        <v>0.76016000000000006</v>
      </c>
      <c r="AB89">
        <f t="shared" ref="AB89" si="18">AVERAGE(AB84:AB88)</f>
        <v>0.77085999999999999</v>
      </c>
      <c r="AC89">
        <f t="shared" ref="AC89" si="19">AVERAGE(AC84:AC88)</f>
        <v>0.7331200000000001</v>
      </c>
      <c r="AD89">
        <f t="shared" ref="AD89" si="20">AVERAGE(AD84:AD88)</f>
        <v>44.571979999999996</v>
      </c>
      <c r="AE89">
        <f t="shared" ref="AE89" si="21">AVERAGE(AE84:AE88)</f>
        <v>10.546100000000001</v>
      </c>
    </row>
  </sheetData>
  <mergeCells count="24">
    <mergeCell ref="D62:F62"/>
    <mergeCell ref="B64:B68"/>
    <mergeCell ref="B70:B74"/>
    <mergeCell ref="P3:R3"/>
    <mergeCell ref="S3:U3"/>
    <mergeCell ref="N29:N33"/>
    <mergeCell ref="N35:N39"/>
    <mergeCell ref="N41:N45"/>
    <mergeCell ref="N47:N51"/>
    <mergeCell ref="N53:N57"/>
    <mergeCell ref="D3:F3"/>
    <mergeCell ref="N5:N9"/>
    <mergeCell ref="N11:N15"/>
    <mergeCell ref="N17:N21"/>
    <mergeCell ref="N23:N27"/>
    <mergeCell ref="B41:B45"/>
    <mergeCell ref="B47:B51"/>
    <mergeCell ref="B53:B57"/>
    <mergeCell ref="B5:B9"/>
    <mergeCell ref="B11:B15"/>
    <mergeCell ref="B17:B21"/>
    <mergeCell ref="B23:B27"/>
    <mergeCell ref="B29:B33"/>
    <mergeCell ref="B35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A4CC-FB45-4665-9687-8A34D2917DD1}">
  <dimension ref="A4:W57"/>
  <sheetViews>
    <sheetView tabSelected="1" topLeftCell="A30" zoomScale="70" zoomScaleNormal="70" workbookViewId="0">
      <selection activeCell="W43" sqref="W43"/>
    </sheetView>
  </sheetViews>
  <sheetFormatPr defaultRowHeight="14.4" x14ac:dyDescent="0.3"/>
  <cols>
    <col min="2" max="2" width="24.6640625" customWidth="1"/>
    <col min="6" max="6" width="13.6640625" customWidth="1"/>
    <col min="13" max="13" width="22.77734375" bestFit="1" customWidth="1"/>
    <col min="23" max="23" width="81.21875" customWidth="1"/>
  </cols>
  <sheetData>
    <row r="4" spans="1:23" x14ac:dyDescent="0.3">
      <c r="A4" s="44" t="s">
        <v>36</v>
      </c>
      <c r="B4" s="44"/>
      <c r="C4" s="11"/>
      <c r="D4" s="11"/>
      <c r="E4" s="11"/>
      <c r="F4" s="11"/>
    </row>
    <row r="5" spans="1:23" x14ac:dyDescent="0.3">
      <c r="A5" s="11"/>
      <c r="D5" s="21" t="s">
        <v>24</v>
      </c>
      <c r="E5" s="21"/>
      <c r="F5" s="21"/>
      <c r="N5" s="11"/>
      <c r="O5" s="28" t="s">
        <v>25</v>
      </c>
      <c r="P5" s="29"/>
      <c r="Q5" s="19"/>
      <c r="R5" s="28" t="s">
        <v>26</v>
      </c>
      <c r="S5" s="29"/>
      <c r="T5" s="19"/>
    </row>
    <row r="6" spans="1:23" x14ac:dyDescent="0.3">
      <c r="A6" s="11"/>
      <c r="B6" s="2" t="s">
        <v>23</v>
      </c>
      <c r="C6" s="2" t="s">
        <v>22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M6" s="2" t="s">
        <v>23</v>
      </c>
      <c r="N6" s="9" t="s">
        <v>22</v>
      </c>
      <c r="O6" s="2" t="s">
        <v>27</v>
      </c>
      <c r="P6" s="2" t="s">
        <v>28</v>
      </c>
      <c r="Q6" s="2" t="s">
        <v>29</v>
      </c>
      <c r="R6" s="12" t="s">
        <v>27</v>
      </c>
      <c r="S6" s="2" t="s">
        <v>28</v>
      </c>
      <c r="T6" s="2" t="s">
        <v>29</v>
      </c>
    </row>
    <row r="7" spans="1:23" x14ac:dyDescent="0.3">
      <c r="A7" s="11"/>
      <c r="B7" s="27" t="s">
        <v>41</v>
      </c>
      <c r="C7" s="2" t="s">
        <v>0</v>
      </c>
      <c r="D7" s="4">
        <v>0.68659999999999999</v>
      </c>
      <c r="E7" s="4">
        <v>0.55100000000000005</v>
      </c>
      <c r="F7" s="4">
        <v>0.48110000000000003</v>
      </c>
      <c r="G7" s="4">
        <v>0.7611</v>
      </c>
      <c r="H7" s="4">
        <v>0.65869999999999995</v>
      </c>
      <c r="I7" s="4">
        <v>0.68659999999999999</v>
      </c>
      <c r="J7" s="4">
        <v>33.048400000000001</v>
      </c>
      <c r="K7" s="4">
        <v>6.5948000000000002</v>
      </c>
      <c r="M7" s="27" t="s">
        <v>40</v>
      </c>
      <c r="N7" s="9" t="s">
        <v>0</v>
      </c>
      <c r="O7" s="4">
        <v>1.3412999999999999</v>
      </c>
      <c r="P7" s="4">
        <v>59.171300000000002</v>
      </c>
      <c r="Q7" s="4">
        <v>0.9909</v>
      </c>
      <c r="R7" s="4">
        <v>0.12709999999999999</v>
      </c>
      <c r="S7" s="4">
        <v>35.036900000000003</v>
      </c>
      <c r="T7" s="4">
        <v>0.73009999999999997</v>
      </c>
    </row>
    <row r="8" spans="1:23" ht="14.4" customHeight="1" x14ac:dyDescent="0.3">
      <c r="A8" s="11"/>
      <c r="B8" s="20"/>
      <c r="C8" s="2" t="s">
        <v>1</v>
      </c>
      <c r="D8" s="4">
        <v>0.93640000000000001</v>
      </c>
      <c r="E8" s="4">
        <v>0.8821</v>
      </c>
      <c r="F8" s="4">
        <v>0.82679999999999998</v>
      </c>
      <c r="G8" s="4">
        <v>0.93589999999999995</v>
      </c>
      <c r="H8" s="4">
        <v>0.93689999999999996</v>
      </c>
      <c r="I8" s="4">
        <v>0.93640000000000001</v>
      </c>
      <c r="J8" s="4">
        <v>17.257100000000001</v>
      </c>
      <c r="K8" s="4">
        <v>2.5964999999999998</v>
      </c>
      <c r="M8" s="20"/>
      <c r="N8" s="9" t="s">
        <v>1</v>
      </c>
      <c r="O8" s="4">
        <v>0.66369999999999996</v>
      </c>
      <c r="P8" s="4">
        <v>40.643599999999999</v>
      </c>
      <c r="Q8" s="4">
        <v>0.70079999999999998</v>
      </c>
      <c r="R8" s="4">
        <v>8.5999999999999993E-2</v>
      </c>
      <c r="S8" s="4">
        <v>36.482900000000001</v>
      </c>
      <c r="T8" s="4">
        <v>0.73880000000000001</v>
      </c>
    </row>
    <row r="9" spans="1:23" x14ac:dyDescent="0.3">
      <c r="A9" s="11"/>
      <c r="B9" s="20"/>
      <c r="C9" s="2" t="s">
        <v>2</v>
      </c>
      <c r="D9" s="4">
        <v>0.85089999999999999</v>
      </c>
      <c r="E9" s="4">
        <v>0.76580000000000004</v>
      </c>
      <c r="F9" s="4">
        <v>0.66439999999999999</v>
      </c>
      <c r="G9" s="4">
        <v>0.85619999999999996</v>
      </c>
      <c r="H9" s="4">
        <v>0.84570000000000001</v>
      </c>
      <c r="I9" s="4">
        <v>0.85089999999999999</v>
      </c>
      <c r="J9" s="4">
        <v>27.694700000000001</v>
      </c>
      <c r="K9" s="4">
        <v>4.7840999999999996</v>
      </c>
      <c r="M9" s="20"/>
      <c r="N9" s="9" t="s">
        <v>2</v>
      </c>
      <c r="O9" s="4">
        <v>1.4390000000000001</v>
      </c>
      <c r="P9" s="4">
        <v>59.879600000000003</v>
      </c>
      <c r="Q9" s="4">
        <v>0.98529999999999995</v>
      </c>
      <c r="R9" s="4">
        <v>9.6199999999999994E-2</v>
      </c>
      <c r="S9" s="4">
        <v>38.979199999999999</v>
      </c>
      <c r="T9" s="4">
        <v>0.8165</v>
      </c>
    </row>
    <row r="10" spans="1:23" x14ac:dyDescent="0.3">
      <c r="A10" s="11"/>
      <c r="B10" s="20"/>
      <c r="C10" s="2" t="s">
        <v>3</v>
      </c>
      <c r="D10" s="4">
        <v>0.78490000000000004</v>
      </c>
      <c r="E10" s="4">
        <v>0.6966</v>
      </c>
      <c r="F10" s="4">
        <v>0.40350000000000003</v>
      </c>
      <c r="G10" s="4">
        <v>0.95709999999999995</v>
      </c>
      <c r="H10" s="4">
        <v>0.70840000000000003</v>
      </c>
      <c r="I10" s="4">
        <v>0.78490000000000004</v>
      </c>
      <c r="J10" s="4">
        <v>22.7363</v>
      </c>
      <c r="K10" s="4">
        <v>6.4409000000000001</v>
      </c>
      <c r="M10" s="20"/>
      <c r="N10" s="9" t="s">
        <v>3</v>
      </c>
      <c r="O10" s="4">
        <v>1.3479000000000001</v>
      </c>
      <c r="P10" s="4">
        <v>56.831200000000003</v>
      </c>
      <c r="Q10" s="4">
        <v>0.98750000000000004</v>
      </c>
      <c r="R10" s="4">
        <v>0.1532</v>
      </c>
      <c r="S10" s="4">
        <v>36.861899999999999</v>
      </c>
      <c r="T10" s="4">
        <v>0.75529999999999997</v>
      </c>
    </row>
    <row r="11" spans="1:23" ht="14.4" customHeight="1" x14ac:dyDescent="0.3">
      <c r="A11" s="11"/>
      <c r="B11" s="20"/>
      <c r="C11" s="2" t="s">
        <v>4</v>
      </c>
      <c r="D11" s="4">
        <v>0.81499999999999995</v>
      </c>
      <c r="E11" s="4">
        <v>0.70809999999999995</v>
      </c>
      <c r="F11" s="4">
        <v>0.52200000000000002</v>
      </c>
      <c r="G11" s="4">
        <v>0.78459999999999996</v>
      </c>
      <c r="H11" s="4">
        <v>0.86019999999999996</v>
      </c>
      <c r="I11" s="4">
        <v>0.81499999999999995</v>
      </c>
      <c r="J11" s="4">
        <v>39.050699999999999</v>
      </c>
      <c r="K11" s="4">
        <v>7.3388999999999998</v>
      </c>
      <c r="M11" s="20"/>
      <c r="N11" s="9" t="s">
        <v>4</v>
      </c>
      <c r="O11" s="4">
        <v>1.0875999999999999</v>
      </c>
      <c r="P11" s="4">
        <v>50.234000000000002</v>
      </c>
      <c r="Q11" s="4">
        <v>0.95020000000000004</v>
      </c>
      <c r="R11" s="4">
        <v>0.1221</v>
      </c>
      <c r="S11" s="4">
        <v>35.682299999999998</v>
      </c>
      <c r="T11" s="4">
        <v>0.75239999999999996</v>
      </c>
    </row>
    <row r="12" spans="1:23" ht="14.4" customHeight="1" x14ac:dyDescent="0.3">
      <c r="A12" s="11"/>
      <c r="B12" s="41"/>
      <c r="C12" s="42"/>
      <c r="D12" s="43">
        <f>AVERAGE(D7:D11)</f>
        <v>0.81476000000000004</v>
      </c>
      <c r="E12" s="43">
        <f t="shared" ref="E12" si="0">AVERAGE(E7:E11)</f>
        <v>0.72072000000000003</v>
      </c>
      <c r="F12" s="43">
        <f t="shared" ref="F12" si="1">AVERAGE(F7:F11)</f>
        <v>0.57956000000000008</v>
      </c>
      <c r="G12" s="43">
        <f t="shared" ref="G12" si="2">AVERAGE(G7:G11)</f>
        <v>0.85898000000000008</v>
      </c>
      <c r="H12" s="43">
        <f t="shared" ref="H12" si="3">AVERAGE(H7:H11)</f>
        <v>0.80198000000000003</v>
      </c>
      <c r="I12" s="43">
        <f t="shared" ref="I12" si="4">AVERAGE(I7:I11)</f>
        <v>0.81476000000000004</v>
      </c>
      <c r="J12" s="43">
        <f t="shared" ref="J12" si="5">AVERAGE(J7:J11)</f>
        <v>27.957440000000002</v>
      </c>
      <c r="K12" s="43">
        <f t="shared" ref="K12" si="6">AVERAGE(K7:K11)</f>
        <v>5.5510399999999995</v>
      </c>
      <c r="M12" s="41"/>
      <c r="N12" s="42"/>
      <c r="O12" s="43">
        <f>AVERAGE(O7:O11)</f>
        <v>1.1758999999999999</v>
      </c>
      <c r="P12" s="43">
        <f t="shared" ref="P12:T12" si="7">AVERAGE(P7:P11)</f>
        <v>53.351939999999999</v>
      </c>
      <c r="Q12" s="43">
        <f t="shared" si="7"/>
        <v>0.92293999999999998</v>
      </c>
      <c r="R12" s="43">
        <f t="shared" si="7"/>
        <v>0.11692</v>
      </c>
      <c r="S12" s="43">
        <f t="shared" si="7"/>
        <v>36.608639999999994</v>
      </c>
      <c r="T12" s="43">
        <f t="shared" si="7"/>
        <v>0.75861999999999996</v>
      </c>
    </row>
    <row r="13" spans="1:23" x14ac:dyDescent="0.3">
      <c r="A13" s="11"/>
    </row>
    <row r="14" spans="1:23" x14ac:dyDescent="0.3">
      <c r="A14" s="11"/>
    </row>
    <row r="15" spans="1:23" x14ac:dyDescent="0.3">
      <c r="A15" s="44" t="s">
        <v>37</v>
      </c>
      <c r="B15" s="44"/>
    </row>
    <row r="16" spans="1:23" ht="244.8" x14ac:dyDescent="0.3">
      <c r="A16" s="11"/>
      <c r="D16" s="21" t="s">
        <v>24</v>
      </c>
      <c r="E16" s="21"/>
      <c r="F16" s="21"/>
      <c r="N16" s="11"/>
      <c r="O16" s="28" t="s">
        <v>25</v>
      </c>
      <c r="P16" s="29"/>
      <c r="Q16" s="19"/>
      <c r="R16" s="28" t="s">
        <v>26</v>
      </c>
      <c r="S16" s="29"/>
      <c r="T16" s="19"/>
      <c r="W16" s="30" t="s">
        <v>42</v>
      </c>
    </row>
    <row r="17" spans="1:20" x14ac:dyDescent="0.3">
      <c r="A17" s="11"/>
      <c r="B17" s="2" t="s">
        <v>23</v>
      </c>
      <c r="C17" s="2" t="s">
        <v>22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11</v>
      </c>
      <c r="K17" s="3" t="s">
        <v>12</v>
      </c>
      <c r="M17" s="2" t="s">
        <v>23</v>
      </c>
      <c r="N17" s="9" t="s">
        <v>22</v>
      </c>
      <c r="O17" s="2" t="s">
        <v>27</v>
      </c>
      <c r="P17" s="2" t="s">
        <v>28</v>
      </c>
      <c r="Q17" s="2" t="s">
        <v>29</v>
      </c>
      <c r="R17" s="12" t="s">
        <v>27</v>
      </c>
      <c r="S17" s="2" t="s">
        <v>28</v>
      </c>
      <c r="T17" s="2" t="s">
        <v>29</v>
      </c>
    </row>
    <row r="18" spans="1:20" x14ac:dyDescent="0.3">
      <c r="A18" s="11"/>
      <c r="B18" s="27" t="s">
        <v>41</v>
      </c>
      <c r="C18" s="2" t="s">
        <v>0</v>
      </c>
      <c r="D18" s="4">
        <v>0.76880000000000004</v>
      </c>
      <c r="E18" s="4">
        <v>0.63419999999999999</v>
      </c>
      <c r="F18" s="4">
        <v>0.59330000000000005</v>
      </c>
      <c r="G18" s="4">
        <v>0.77939999999999998</v>
      </c>
      <c r="H18" s="4">
        <v>0.76539999999999997</v>
      </c>
      <c r="I18" s="4">
        <v>0.76880000000000004</v>
      </c>
      <c r="J18" s="4">
        <v>42.341900000000003</v>
      </c>
      <c r="K18" s="4">
        <v>5.5255999999999998</v>
      </c>
      <c r="M18" s="27" t="s">
        <v>40</v>
      </c>
      <c r="N18" s="9" t="s">
        <v>0</v>
      </c>
      <c r="O18" s="40" t="s">
        <v>43</v>
      </c>
      <c r="P18" s="31"/>
      <c r="Q18" s="31"/>
      <c r="R18" s="31"/>
      <c r="S18" s="31"/>
      <c r="T18" s="32"/>
    </row>
    <row r="19" spans="1:20" x14ac:dyDescent="0.3">
      <c r="A19" s="11"/>
      <c r="B19" s="20"/>
      <c r="C19" s="2" t="s">
        <v>1</v>
      </c>
      <c r="D19" s="4">
        <v>0.93059999999999998</v>
      </c>
      <c r="E19" s="4">
        <v>0.87180000000000002</v>
      </c>
      <c r="F19" s="4">
        <v>0.81630000000000003</v>
      </c>
      <c r="G19" s="4">
        <v>0.91520000000000001</v>
      </c>
      <c r="H19" s="4">
        <v>0.95020000000000004</v>
      </c>
      <c r="I19" s="4">
        <v>0.93059999999999998</v>
      </c>
      <c r="J19" s="4">
        <v>16.018000000000001</v>
      </c>
      <c r="K19" s="4">
        <v>2.5756999999999999</v>
      </c>
      <c r="M19" s="20"/>
      <c r="N19" s="9" t="s">
        <v>1</v>
      </c>
      <c r="O19" s="33"/>
      <c r="P19" s="34"/>
      <c r="Q19" s="34"/>
      <c r="R19" s="34"/>
      <c r="S19" s="34"/>
      <c r="T19" s="35"/>
    </row>
    <row r="20" spans="1:20" x14ac:dyDescent="0.3">
      <c r="A20" s="11"/>
      <c r="B20" s="20"/>
      <c r="C20" s="2" t="s">
        <v>2</v>
      </c>
      <c r="D20" s="4">
        <v>0.86150000000000004</v>
      </c>
      <c r="E20" s="4">
        <v>0.77249999999999996</v>
      </c>
      <c r="F20" s="4">
        <v>0.67869999999999997</v>
      </c>
      <c r="G20" s="4">
        <v>0.88919999999999999</v>
      </c>
      <c r="H20" s="4">
        <v>0.84289999999999998</v>
      </c>
      <c r="I20" s="4">
        <v>0.86150000000000004</v>
      </c>
      <c r="J20" s="4">
        <v>38.108899999999998</v>
      </c>
      <c r="K20" s="4">
        <v>7.0893300000000004</v>
      </c>
      <c r="M20" s="20"/>
      <c r="N20" s="9" t="s">
        <v>2</v>
      </c>
      <c r="O20" s="33"/>
      <c r="P20" s="34"/>
      <c r="Q20" s="34"/>
      <c r="R20" s="34"/>
      <c r="S20" s="34"/>
      <c r="T20" s="35"/>
    </row>
    <row r="21" spans="1:20" x14ac:dyDescent="0.3">
      <c r="A21" s="11"/>
      <c r="B21" s="20"/>
      <c r="C21" s="2" t="s">
        <v>3</v>
      </c>
      <c r="D21" s="4">
        <v>0.82920000000000005</v>
      </c>
      <c r="E21" s="4">
        <v>0.74339999999999995</v>
      </c>
      <c r="F21" s="4">
        <v>0.49580000000000002</v>
      </c>
      <c r="G21" s="4">
        <v>0.93369999999999997</v>
      </c>
      <c r="H21" s="4">
        <v>0.7661</v>
      </c>
      <c r="I21" s="4">
        <v>0.82920000000000005</v>
      </c>
      <c r="J21" s="4">
        <v>14.497999999999999</v>
      </c>
      <c r="K21" s="4">
        <v>2.6951000000000001</v>
      </c>
      <c r="M21" s="20"/>
      <c r="N21" s="9" t="s">
        <v>3</v>
      </c>
      <c r="O21" s="33"/>
      <c r="P21" s="34"/>
      <c r="Q21" s="34"/>
      <c r="R21" s="34"/>
      <c r="S21" s="34"/>
      <c r="T21" s="35"/>
    </row>
    <row r="22" spans="1:20" x14ac:dyDescent="0.3">
      <c r="A22" s="11"/>
      <c r="B22" s="20"/>
      <c r="C22" s="2" t="s">
        <v>4</v>
      </c>
      <c r="D22" s="4">
        <v>0.77039999999999997</v>
      </c>
      <c r="E22" s="4">
        <v>0.65039999999999998</v>
      </c>
      <c r="F22" s="4">
        <v>0.4521</v>
      </c>
      <c r="G22" s="4">
        <v>0.73260000000000003</v>
      </c>
      <c r="H22" s="4">
        <v>0.86099999999999999</v>
      </c>
      <c r="I22" s="4">
        <v>0.77039999999999997</v>
      </c>
      <c r="J22" s="4">
        <v>41.4818</v>
      </c>
      <c r="K22" s="4">
        <v>8.4784000000000006</v>
      </c>
      <c r="M22" s="20"/>
      <c r="N22" s="9" t="s">
        <v>4</v>
      </c>
      <c r="O22" s="36"/>
      <c r="P22" s="37"/>
      <c r="Q22" s="37"/>
      <c r="R22" s="37"/>
      <c r="S22" s="37"/>
      <c r="T22" s="38"/>
    </row>
    <row r="23" spans="1:20" x14ac:dyDescent="0.3">
      <c r="A23" s="11"/>
      <c r="B23" s="41"/>
      <c r="C23" s="42"/>
      <c r="D23" s="43">
        <f>AVERAGE(D18:D22)</f>
        <v>0.83210000000000017</v>
      </c>
      <c r="E23" s="43">
        <f t="shared" ref="E23:K23" si="8">AVERAGE(E18:E22)</f>
        <v>0.73446</v>
      </c>
      <c r="F23" s="43">
        <f t="shared" si="8"/>
        <v>0.60724000000000011</v>
      </c>
      <c r="G23" s="43">
        <f t="shared" si="8"/>
        <v>0.85002</v>
      </c>
      <c r="H23" s="43">
        <f t="shared" si="8"/>
        <v>0.83711999999999998</v>
      </c>
      <c r="I23" s="43">
        <f t="shared" si="8"/>
        <v>0.83210000000000017</v>
      </c>
      <c r="J23" s="43">
        <f t="shared" si="8"/>
        <v>30.489719999999998</v>
      </c>
      <c r="K23" s="43">
        <f t="shared" si="8"/>
        <v>5.2728260000000002</v>
      </c>
      <c r="M23" s="41"/>
      <c r="N23" s="42"/>
      <c r="O23" s="39"/>
      <c r="P23" s="39"/>
      <c r="Q23" s="39"/>
      <c r="R23" s="39"/>
      <c r="S23" s="39"/>
      <c r="T23" s="39"/>
    </row>
    <row r="24" spans="1:20" x14ac:dyDescent="0.3">
      <c r="A24" s="11"/>
      <c r="B24" s="41"/>
      <c r="C24" s="42"/>
      <c r="D24" s="43"/>
      <c r="E24" s="43"/>
      <c r="F24" s="43"/>
      <c r="G24" s="43"/>
      <c r="H24" s="43"/>
      <c r="I24" s="43"/>
      <c r="J24" s="43"/>
      <c r="K24" s="43"/>
      <c r="M24" s="41"/>
      <c r="N24" s="42"/>
      <c r="O24" s="39"/>
      <c r="P24" s="39"/>
      <c r="Q24" s="39"/>
      <c r="R24" s="39"/>
      <c r="S24" s="39"/>
      <c r="T24" s="39"/>
    </row>
    <row r="25" spans="1:20" ht="14.4" customHeight="1" x14ac:dyDescent="0.3">
      <c r="A25" s="11"/>
      <c r="B25" s="11"/>
      <c r="C25" s="11"/>
      <c r="D25" s="11"/>
      <c r="E25" s="11"/>
    </row>
    <row r="26" spans="1:20" x14ac:dyDescent="0.3">
      <c r="A26" s="44" t="s">
        <v>38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</row>
    <row r="27" spans="1:20" x14ac:dyDescent="0.3">
      <c r="A27" s="11"/>
      <c r="B27" s="11"/>
      <c r="C27" s="11"/>
      <c r="D27" s="11"/>
      <c r="E27" s="11"/>
    </row>
    <row r="28" spans="1:20" x14ac:dyDescent="0.3">
      <c r="A28" s="11"/>
      <c r="D28" s="21" t="s">
        <v>24</v>
      </c>
      <c r="E28" s="21"/>
      <c r="F28" s="21"/>
      <c r="N28" s="11"/>
      <c r="O28" s="28" t="s">
        <v>25</v>
      </c>
      <c r="P28" s="29"/>
      <c r="Q28" s="19"/>
      <c r="R28" s="28" t="s">
        <v>26</v>
      </c>
      <c r="S28" s="29"/>
      <c r="T28" s="19"/>
    </row>
    <row r="29" spans="1:20" x14ac:dyDescent="0.3">
      <c r="A29" s="11"/>
      <c r="B29" s="2" t="s">
        <v>23</v>
      </c>
      <c r="C29" s="2" t="s">
        <v>22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9</v>
      </c>
      <c r="I29" s="3" t="s">
        <v>10</v>
      </c>
      <c r="J29" s="3" t="s">
        <v>11</v>
      </c>
      <c r="K29" s="3" t="s">
        <v>12</v>
      </c>
      <c r="M29" s="2" t="s">
        <v>23</v>
      </c>
      <c r="N29" s="9" t="s">
        <v>22</v>
      </c>
      <c r="O29" s="2" t="s">
        <v>27</v>
      </c>
      <c r="P29" s="2" t="s">
        <v>28</v>
      </c>
      <c r="Q29" s="2" t="s">
        <v>29</v>
      </c>
      <c r="R29" s="12" t="s">
        <v>27</v>
      </c>
      <c r="S29" s="2" t="s">
        <v>28</v>
      </c>
      <c r="T29" s="2" t="s">
        <v>29</v>
      </c>
    </row>
    <row r="30" spans="1:20" x14ac:dyDescent="0.3">
      <c r="A30" s="11"/>
      <c r="B30" s="27" t="s">
        <v>41</v>
      </c>
      <c r="C30" s="2" t="s">
        <v>0</v>
      </c>
      <c r="D30" s="4">
        <v>0.7722</v>
      </c>
      <c r="E30" s="4">
        <v>0.63660000000000005</v>
      </c>
      <c r="F30" s="4">
        <v>0.59560000000000002</v>
      </c>
      <c r="G30" s="4">
        <v>0.80049999999999999</v>
      </c>
      <c r="H30" s="4">
        <v>0.76100000000000001</v>
      </c>
      <c r="I30" s="4">
        <v>0.7722</v>
      </c>
      <c r="J30" s="4">
        <v>31.805099999999999</v>
      </c>
      <c r="K30" s="4">
        <v>4.6357999999999997</v>
      </c>
      <c r="M30" s="27" t="s">
        <v>40</v>
      </c>
      <c r="N30" s="9" t="s">
        <v>0</v>
      </c>
      <c r="O30" s="4">
        <v>1.403</v>
      </c>
      <c r="P30" s="4">
        <v>59.188000000000002</v>
      </c>
      <c r="Q30" s="4">
        <v>0.98599999999999999</v>
      </c>
      <c r="R30" s="4">
        <v>0.14799999999999999</v>
      </c>
      <c r="S30" s="4">
        <v>33.6995</v>
      </c>
      <c r="T30" s="4">
        <v>0.74680000000000002</v>
      </c>
    </row>
    <row r="31" spans="1:20" x14ac:dyDescent="0.3">
      <c r="A31" s="11"/>
      <c r="B31" s="20"/>
      <c r="C31" s="2" t="s">
        <v>1</v>
      </c>
      <c r="D31">
        <v>0.91620000000000001</v>
      </c>
      <c r="E31" s="4">
        <v>0.84819999999999995</v>
      </c>
      <c r="F31" s="4">
        <v>0.77639999999999998</v>
      </c>
      <c r="G31" s="4">
        <v>0.9224</v>
      </c>
      <c r="H31" s="4">
        <v>0.91059999999999997</v>
      </c>
      <c r="I31" s="4">
        <v>0.91620000000000001</v>
      </c>
      <c r="J31" s="4">
        <v>19.7577</v>
      </c>
      <c r="K31" s="4">
        <v>3.0234000000000001</v>
      </c>
      <c r="M31" s="20"/>
      <c r="N31" s="9" t="s">
        <v>1</v>
      </c>
      <c r="O31" s="4">
        <v>0.55730000000000002</v>
      </c>
      <c r="P31" s="4">
        <v>43.079500000000003</v>
      </c>
      <c r="Q31" s="4">
        <v>0.81520000000000004</v>
      </c>
      <c r="R31" s="4">
        <v>9.1200000000000003E-2</v>
      </c>
      <c r="S31" s="4">
        <v>37.061700000000002</v>
      </c>
      <c r="T31" s="4">
        <v>0.75700000000000001</v>
      </c>
    </row>
    <row r="32" spans="1:20" x14ac:dyDescent="0.3">
      <c r="A32" s="11"/>
      <c r="B32" s="20"/>
      <c r="C32" s="2" t="s">
        <v>2</v>
      </c>
      <c r="D32" s="4">
        <v>0.8841</v>
      </c>
      <c r="E32" s="4">
        <v>0.80420000000000003</v>
      </c>
      <c r="F32" s="4">
        <v>0.72770000000000001</v>
      </c>
      <c r="G32" s="4">
        <v>0.91220000000000001</v>
      </c>
      <c r="H32" s="4">
        <v>0.86909999999999998</v>
      </c>
      <c r="I32" s="4">
        <v>0.8841</v>
      </c>
      <c r="J32" s="4">
        <v>38.182099999999998</v>
      </c>
      <c r="K32" s="4">
        <v>6.1513999999999998</v>
      </c>
      <c r="M32" s="20"/>
      <c r="N32" s="9" t="s">
        <v>2</v>
      </c>
      <c r="O32" s="4">
        <v>1.2123999999999999</v>
      </c>
      <c r="P32" s="4">
        <v>59.990299999999998</v>
      </c>
      <c r="Q32" s="4">
        <v>0.98340000000000005</v>
      </c>
      <c r="R32" s="4">
        <v>0.1144</v>
      </c>
      <c r="S32" s="4">
        <v>38.6372</v>
      </c>
      <c r="T32" s="4">
        <v>0.82599999999999996</v>
      </c>
    </row>
    <row r="33" spans="1:20" x14ac:dyDescent="0.3">
      <c r="A33" s="11"/>
      <c r="B33" s="20"/>
      <c r="C33" s="2" t="s">
        <v>3</v>
      </c>
      <c r="D33" s="4">
        <v>0.85599999999999998</v>
      </c>
      <c r="E33" s="4">
        <v>0.77480000000000004</v>
      </c>
      <c r="F33" s="4">
        <v>0.55800000000000005</v>
      </c>
      <c r="G33" s="4">
        <v>0.90249999999999997</v>
      </c>
      <c r="H33" s="4">
        <v>0.81940000000000002</v>
      </c>
      <c r="I33" s="4">
        <v>0.85599999999999998</v>
      </c>
      <c r="J33" s="4">
        <v>26.476700000000001</v>
      </c>
      <c r="K33" s="4">
        <v>4.5332999999999997</v>
      </c>
      <c r="M33" s="20"/>
      <c r="N33" s="9" t="s">
        <v>3</v>
      </c>
      <c r="O33" s="4">
        <v>1.5067999999999999</v>
      </c>
      <c r="P33" s="4">
        <v>54.1877</v>
      </c>
      <c r="Q33" s="4">
        <v>0.98050000000000004</v>
      </c>
      <c r="R33" s="4">
        <v>0.16880000000000001</v>
      </c>
      <c r="S33" s="4">
        <v>37.312399999999997</v>
      </c>
      <c r="T33" s="4">
        <v>0.77969999999999995</v>
      </c>
    </row>
    <row r="34" spans="1:20" x14ac:dyDescent="0.3">
      <c r="A34" s="11"/>
      <c r="B34" s="20"/>
      <c r="C34" s="2" t="s">
        <v>4</v>
      </c>
      <c r="D34" s="4">
        <v>0.78879999999999995</v>
      </c>
      <c r="E34" s="4">
        <v>0.67390000000000005</v>
      </c>
      <c r="F34" s="4">
        <v>0.47920000000000001</v>
      </c>
      <c r="G34" s="4">
        <v>0.75170000000000003</v>
      </c>
      <c r="H34" s="4">
        <v>0.8609</v>
      </c>
      <c r="I34" s="4">
        <v>0.78879999999999995</v>
      </c>
      <c r="J34" s="4">
        <v>41.501899999999999</v>
      </c>
      <c r="K34" s="4">
        <v>7.9128999999999996</v>
      </c>
      <c r="M34" s="20"/>
      <c r="N34" s="9" t="s">
        <v>4</v>
      </c>
      <c r="O34" s="4">
        <v>1.077</v>
      </c>
      <c r="P34" s="4">
        <v>49.020499999999998</v>
      </c>
      <c r="Q34" s="4">
        <v>0.93759999999999999</v>
      </c>
      <c r="R34" s="4">
        <v>0.13769999999999999</v>
      </c>
      <c r="S34" s="4">
        <v>33.892200000000003</v>
      </c>
      <c r="T34" s="4">
        <v>0.74909999999999999</v>
      </c>
    </row>
    <row r="35" spans="1:20" x14ac:dyDescent="0.3">
      <c r="A35" s="11"/>
      <c r="B35" s="11"/>
      <c r="C35" s="11"/>
      <c r="D35" s="43">
        <f>AVERAGE(D30:D34)</f>
        <v>0.84345999999999999</v>
      </c>
      <c r="E35" s="43">
        <f t="shared" ref="E35:K35" si="9">AVERAGE(E30:E34)</f>
        <v>0.74753999999999998</v>
      </c>
      <c r="F35" s="43">
        <f t="shared" si="9"/>
        <v>0.62738000000000005</v>
      </c>
      <c r="G35" s="43">
        <f t="shared" si="9"/>
        <v>0.85785999999999996</v>
      </c>
      <c r="H35" s="43">
        <f t="shared" si="9"/>
        <v>0.84420000000000006</v>
      </c>
      <c r="I35" s="43">
        <f t="shared" si="9"/>
        <v>0.84345999999999999</v>
      </c>
      <c r="J35" s="43">
        <f t="shared" si="9"/>
        <v>31.544699999999999</v>
      </c>
      <c r="K35" s="43">
        <f t="shared" si="9"/>
        <v>5.25136</v>
      </c>
      <c r="O35" s="43">
        <f t="shared" ref="O35" si="10">AVERAGE(O30:O34)</f>
        <v>1.1513</v>
      </c>
      <c r="P35" s="43">
        <f t="shared" ref="P35" si="11">AVERAGE(P30:P34)</f>
        <v>53.093200000000003</v>
      </c>
      <c r="Q35" s="43">
        <f t="shared" ref="Q35" si="12">AVERAGE(Q30:Q34)</f>
        <v>0.94054000000000004</v>
      </c>
      <c r="R35" s="43">
        <f t="shared" ref="R35" si="13">AVERAGE(R30:R34)</f>
        <v>0.13201999999999997</v>
      </c>
      <c r="S35" s="43">
        <f t="shared" ref="S35" si="14">AVERAGE(S30:S34)</f>
        <v>36.120600000000003</v>
      </c>
      <c r="T35" s="43">
        <f t="shared" ref="T35" si="15">AVERAGE(T30:T34)</f>
        <v>0.77171999999999996</v>
      </c>
    </row>
    <row r="36" spans="1:20" x14ac:dyDescent="0.3">
      <c r="A36" s="11"/>
      <c r="B36" s="11"/>
      <c r="C36" s="11"/>
      <c r="D36" s="11"/>
      <c r="E36" s="11"/>
      <c r="F36" s="11"/>
      <c r="G36" s="11"/>
      <c r="H36" s="11"/>
    </row>
    <row r="37" spans="1:20" x14ac:dyDescent="0.3">
      <c r="A37" s="45" t="s">
        <v>44</v>
      </c>
      <c r="B37" s="45"/>
      <c r="C37" s="45"/>
      <c r="D37" s="45"/>
      <c r="E37" s="45"/>
      <c r="F37" s="45"/>
      <c r="G37" s="45"/>
      <c r="H37" s="45"/>
      <c r="I37" s="45"/>
      <c r="J37" s="45"/>
      <c r="K37" s="45" t="s">
        <v>45</v>
      </c>
      <c r="L37" s="45"/>
    </row>
    <row r="39" spans="1:20" x14ac:dyDescent="0.3">
      <c r="D39" s="21" t="s">
        <v>24</v>
      </c>
      <c r="E39" s="21"/>
      <c r="F39" s="21"/>
      <c r="N39" s="11"/>
      <c r="O39" s="28" t="s">
        <v>25</v>
      </c>
      <c r="P39" s="29"/>
      <c r="Q39" s="19"/>
      <c r="R39" s="28" t="s">
        <v>26</v>
      </c>
      <c r="S39" s="29"/>
      <c r="T39" s="19"/>
    </row>
    <row r="40" spans="1:20" x14ac:dyDescent="0.3">
      <c r="B40" s="2" t="s">
        <v>23</v>
      </c>
      <c r="C40" s="2" t="s">
        <v>22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9</v>
      </c>
      <c r="I40" s="3" t="s">
        <v>10</v>
      </c>
      <c r="J40" s="3" t="s">
        <v>11</v>
      </c>
      <c r="K40" s="3" t="s">
        <v>12</v>
      </c>
      <c r="M40" s="2" t="s">
        <v>23</v>
      </c>
      <c r="N40" s="9" t="s">
        <v>22</v>
      </c>
      <c r="O40" s="2" t="s">
        <v>27</v>
      </c>
      <c r="P40" s="2" t="s">
        <v>28</v>
      </c>
      <c r="Q40" s="2" t="s">
        <v>29</v>
      </c>
      <c r="R40" s="12" t="s">
        <v>27</v>
      </c>
      <c r="S40" s="2" t="s">
        <v>28</v>
      </c>
      <c r="T40" s="2" t="s">
        <v>29</v>
      </c>
    </row>
    <row r="41" spans="1:20" x14ac:dyDescent="0.3">
      <c r="B41" s="27" t="s">
        <v>41</v>
      </c>
      <c r="C41" s="2" t="s">
        <v>0</v>
      </c>
      <c r="D41" s="4">
        <v>0.72399999999999998</v>
      </c>
      <c r="E41" s="4">
        <v>0.58599999999999997</v>
      </c>
      <c r="F41" s="4">
        <v>0.51649999999999996</v>
      </c>
      <c r="G41" s="4">
        <v>0.76319999999999999</v>
      </c>
      <c r="H41" s="4">
        <v>0.71299999999999997</v>
      </c>
      <c r="I41" s="4">
        <v>0.72399999999999998</v>
      </c>
      <c r="J41" s="4">
        <v>48.396599999999999</v>
      </c>
      <c r="K41" s="4">
        <v>6.2899000000000003</v>
      </c>
      <c r="M41" s="27" t="s">
        <v>40</v>
      </c>
      <c r="N41" s="9" t="s">
        <v>0</v>
      </c>
      <c r="O41" s="40" t="s">
        <v>43</v>
      </c>
      <c r="P41" s="31"/>
      <c r="Q41" s="31"/>
      <c r="R41" s="31"/>
      <c r="S41" s="31"/>
      <c r="T41" s="32"/>
    </row>
    <row r="42" spans="1:20" x14ac:dyDescent="0.3">
      <c r="B42" s="20"/>
      <c r="C42" s="2" t="s">
        <v>1</v>
      </c>
      <c r="D42" s="4">
        <v>0.86750000000000005</v>
      </c>
      <c r="E42" s="4">
        <v>0.77049999999999996</v>
      </c>
      <c r="F42" s="4">
        <v>0.68079999999999996</v>
      </c>
      <c r="G42" s="4">
        <v>0.84909999999999997</v>
      </c>
      <c r="H42" s="4">
        <v>0.89629999999999999</v>
      </c>
      <c r="I42" s="4">
        <v>0.86750000000000005</v>
      </c>
      <c r="J42" s="4">
        <v>24.432300000000001</v>
      </c>
      <c r="K42" s="4">
        <v>3.5383</v>
      </c>
      <c r="M42" s="20"/>
      <c r="N42" s="9" t="s">
        <v>1</v>
      </c>
      <c r="O42" s="33"/>
      <c r="P42" s="34"/>
      <c r="Q42" s="34"/>
      <c r="R42" s="34"/>
      <c r="S42" s="34"/>
      <c r="T42" s="35"/>
    </row>
    <row r="43" spans="1:20" x14ac:dyDescent="0.3">
      <c r="B43" s="20"/>
      <c r="C43" s="2" t="s">
        <v>2</v>
      </c>
      <c r="D43" s="4">
        <v>0.82020000000000004</v>
      </c>
      <c r="E43" s="4">
        <v>0.71030000000000004</v>
      </c>
      <c r="F43" s="4">
        <v>0.59730000000000005</v>
      </c>
      <c r="G43" s="4">
        <v>0.89259999999999995</v>
      </c>
      <c r="H43" s="4">
        <v>0.76949999999999996</v>
      </c>
      <c r="I43" s="4">
        <v>0.82020000000000004</v>
      </c>
      <c r="J43" s="4">
        <v>59.490499999999997</v>
      </c>
      <c r="K43" s="4">
        <v>8.8970599999999997</v>
      </c>
      <c r="M43" s="20"/>
      <c r="N43" s="9" t="s">
        <v>2</v>
      </c>
      <c r="O43" s="33"/>
      <c r="P43" s="34"/>
      <c r="Q43" s="34"/>
      <c r="R43" s="34"/>
      <c r="S43" s="34"/>
      <c r="T43" s="35"/>
    </row>
    <row r="44" spans="1:20" x14ac:dyDescent="0.3">
      <c r="B44" s="20"/>
      <c r="C44" s="2" t="s">
        <v>3</v>
      </c>
      <c r="D44" s="4">
        <v>0.86070000000000002</v>
      </c>
      <c r="E44" s="4">
        <v>0.78029999999999999</v>
      </c>
      <c r="F44" s="4">
        <v>0.56989999999999996</v>
      </c>
      <c r="G44" s="4">
        <v>0.8538</v>
      </c>
      <c r="H44" s="4">
        <v>0.86780000000000002</v>
      </c>
      <c r="I44" s="4">
        <v>0.86070000000000002</v>
      </c>
      <c r="J44" s="4">
        <v>28.751799999999999</v>
      </c>
      <c r="K44" s="4">
        <v>5.3464999999999998</v>
      </c>
      <c r="M44" s="20"/>
      <c r="N44" s="9" t="s">
        <v>3</v>
      </c>
      <c r="O44" s="33"/>
      <c r="P44" s="34"/>
      <c r="Q44" s="34"/>
      <c r="R44" s="34"/>
      <c r="S44" s="34"/>
      <c r="T44" s="35"/>
    </row>
    <row r="45" spans="1:20" x14ac:dyDescent="0.3">
      <c r="B45" s="20"/>
      <c r="C45" s="2" t="s">
        <v>4</v>
      </c>
      <c r="D45" s="4">
        <v>0.72989999999999999</v>
      </c>
      <c r="E45" s="4">
        <v>0.60119999999999996</v>
      </c>
      <c r="F45" s="4">
        <v>0.39510000000000001</v>
      </c>
      <c r="G45" s="4">
        <v>0.69869999999999999</v>
      </c>
      <c r="H45" s="4">
        <v>0.84289999999999998</v>
      </c>
      <c r="I45" s="4">
        <v>0.72989999999999999</v>
      </c>
      <c r="J45" s="4">
        <v>60.277799999999999</v>
      </c>
      <c r="K45" s="4">
        <v>12.2516</v>
      </c>
      <c r="M45" s="20"/>
      <c r="N45" s="9" t="s">
        <v>4</v>
      </c>
      <c r="O45" s="36"/>
      <c r="P45" s="37"/>
      <c r="Q45" s="37"/>
      <c r="R45" s="37"/>
      <c r="S45" s="37"/>
      <c r="T45" s="38"/>
    </row>
    <row r="46" spans="1:20" x14ac:dyDescent="0.3">
      <c r="B46" s="41"/>
      <c r="C46" s="42"/>
      <c r="D46" s="43">
        <f>AVERAGE(D41:D45)</f>
        <v>0.80045999999999995</v>
      </c>
      <c r="E46" s="43">
        <f t="shared" ref="E46:K46" si="16">AVERAGE(E41:E45)</f>
        <v>0.68966000000000005</v>
      </c>
      <c r="F46" s="43">
        <f t="shared" si="16"/>
        <v>0.55191999999999997</v>
      </c>
      <c r="G46" s="43">
        <f t="shared" si="16"/>
        <v>0.81147999999999987</v>
      </c>
      <c r="H46" s="43">
        <f t="shared" si="16"/>
        <v>0.81790000000000007</v>
      </c>
      <c r="I46" s="43">
        <f t="shared" si="16"/>
        <v>0.80045999999999995</v>
      </c>
      <c r="J46" s="43">
        <f t="shared" si="16"/>
        <v>44.269799999999996</v>
      </c>
      <c r="K46" s="43">
        <f t="shared" si="16"/>
        <v>7.2646719999999991</v>
      </c>
      <c r="M46" s="41"/>
      <c r="N46" s="42"/>
      <c r="O46" s="39"/>
      <c r="P46" s="39"/>
      <c r="Q46" s="39"/>
      <c r="R46" s="39"/>
      <c r="S46" s="39"/>
      <c r="T46" s="39"/>
    </row>
    <row r="48" spans="1:20" x14ac:dyDescent="0.3">
      <c r="A48" s="45" t="s">
        <v>39</v>
      </c>
      <c r="B48" s="45"/>
      <c r="C48" s="45"/>
      <c r="D48" s="45"/>
      <c r="E48" s="45"/>
      <c r="F48" s="45"/>
      <c r="G48" s="46"/>
      <c r="H48" s="46"/>
      <c r="I48" s="47" t="s">
        <v>46</v>
      </c>
      <c r="J48" s="47"/>
    </row>
    <row r="50" spans="2:23" ht="42" customHeight="1" x14ac:dyDescent="0.3">
      <c r="D50" s="21" t="s">
        <v>24</v>
      </c>
      <c r="E50" s="21"/>
      <c r="F50" s="21"/>
      <c r="N50" s="11"/>
      <c r="O50" s="28" t="s">
        <v>25</v>
      </c>
      <c r="P50" s="29"/>
      <c r="Q50" s="19"/>
      <c r="R50" s="28" t="s">
        <v>26</v>
      </c>
      <c r="S50" s="29"/>
      <c r="T50" s="19"/>
      <c r="W50" s="30" t="s">
        <v>47</v>
      </c>
    </row>
    <row r="51" spans="2:23" x14ac:dyDescent="0.3">
      <c r="B51" s="2" t="s">
        <v>23</v>
      </c>
      <c r="C51" s="2" t="s">
        <v>22</v>
      </c>
      <c r="D51" s="3" t="s">
        <v>5</v>
      </c>
      <c r="E51" s="3" t="s">
        <v>6</v>
      </c>
      <c r="F51" s="3" t="s">
        <v>7</v>
      </c>
      <c r="G51" s="3" t="s">
        <v>8</v>
      </c>
      <c r="H51" s="3" t="s">
        <v>9</v>
      </c>
      <c r="I51" s="3" t="s">
        <v>10</v>
      </c>
      <c r="J51" s="3" t="s">
        <v>11</v>
      </c>
      <c r="K51" s="3" t="s">
        <v>12</v>
      </c>
      <c r="M51" s="2" t="s">
        <v>23</v>
      </c>
      <c r="N51" s="9" t="s">
        <v>22</v>
      </c>
      <c r="O51" s="2" t="s">
        <v>27</v>
      </c>
      <c r="P51" s="2" t="s">
        <v>28</v>
      </c>
      <c r="Q51" s="2" t="s">
        <v>29</v>
      </c>
      <c r="R51" s="12" t="s">
        <v>27</v>
      </c>
      <c r="S51" s="2" t="s">
        <v>28</v>
      </c>
      <c r="T51" s="2" t="s">
        <v>29</v>
      </c>
    </row>
    <row r="52" spans="2:23" x14ac:dyDescent="0.3">
      <c r="B52" s="27" t="s">
        <v>41</v>
      </c>
      <c r="C52" s="2" t="s">
        <v>0</v>
      </c>
      <c r="D52" s="4">
        <v>0.68089999999999995</v>
      </c>
      <c r="E52" s="4">
        <v>0.52700000000000002</v>
      </c>
      <c r="F52" s="4">
        <v>0.47370000000000001</v>
      </c>
      <c r="G52" s="4">
        <v>0.71699999999999997</v>
      </c>
      <c r="H52" s="4">
        <v>0.66620000000000001</v>
      </c>
      <c r="I52" s="4">
        <v>0.68089999999999995</v>
      </c>
      <c r="J52" s="4">
        <v>59.697400000000002</v>
      </c>
      <c r="K52" s="4">
        <v>8.3796999999999997</v>
      </c>
      <c r="M52" s="27" t="s">
        <v>40</v>
      </c>
      <c r="N52" s="9" t="s">
        <v>0</v>
      </c>
      <c r="O52" s="40" t="s">
        <v>43</v>
      </c>
      <c r="P52" s="31"/>
      <c r="Q52" s="31"/>
      <c r="R52" s="31"/>
      <c r="S52" s="31"/>
      <c r="T52" s="32"/>
    </row>
    <row r="53" spans="2:23" x14ac:dyDescent="0.3">
      <c r="B53" s="20"/>
      <c r="C53" s="2" t="s">
        <v>1</v>
      </c>
      <c r="D53" s="4">
        <v>0.92449999999999999</v>
      </c>
      <c r="E53" s="4">
        <v>0.86150000000000004</v>
      </c>
      <c r="F53" s="4">
        <v>0.80169999999999997</v>
      </c>
      <c r="G53" s="4">
        <v>0.90959999999999996</v>
      </c>
      <c r="H53" s="4">
        <v>0.94350000000000001</v>
      </c>
      <c r="I53" s="4">
        <v>0.92449999999999999</v>
      </c>
      <c r="J53" s="4">
        <v>24.5974</v>
      </c>
      <c r="K53" s="4">
        <v>4.2990000000000004</v>
      </c>
      <c r="M53" s="20"/>
      <c r="N53" s="9" t="s">
        <v>1</v>
      </c>
      <c r="O53" s="33"/>
      <c r="P53" s="34"/>
      <c r="Q53" s="34"/>
      <c r="R53" s="34"/>
      <c r="S53" s="34"/>
      <c r="T53" s="35"/>
    </row>
    <row r="54" spans="2:23" x14ac:dyDescent="0.3">
      <c r="B54" s="20"/>
      <c r="C54" s="2" t="s">
        <v>2</v>
      </c>
      <c r="D54" s="4">
        <v>0.745</v>
      </c>
      <c r="E54" s="4">
        <v>0.64849999999999997</v>
      </c>
      <c r="F54" s="4">
        <v>0.49990000000000001</v>
      </c>
      <c r="G54" s="4">
        <v>0.89659999999999995</v>
      </c>
      <c r="H54" s="4">
        <v>0.68959999999999999</v>
      </c>
      <c r="I54" s="4">
        <v>0.745</v>
      </c>
      <c r="J54" s="4">
        <v>48.797800000000002</v>
      </c>
      <c r="K54" s="4">
        <v>8.5785999999999998</v>
      </c>
      <c r="M54" s="20"/>
      <c r="N54" s="9" t="s">
        <v>2</v>
      </c>
      <c r="O54" s="33"/>
      <c r="P54" s="34"/>
      <c r="Q54" s="34"/>
      <c r="R54" s="34"/>
      <c r="S54" s="34"/>
      <c r="T54" s="35"/>
    </row>
    <row r="55" spans="2:23" x14ac:dyDescent="0.3">
      <c r="B55" s="20"/>
      <c r="C55" s="2" t="s">
        <v>3</v>
      </c>
      <c r="D55" s="4">
        <v>0.76780000000000004</v>
      </c>
      <c r="E55" s="4">
        <v>0.6784</v>
      </c>
      <c r="F55" s="4">
        <v>0.37390000000000001</v>
      </c>
      <c r="G55" s="4">
        <v>0.7399</v>
      </c>
      <c r="H55" s="4">
        <v>0.80349999999999999</v>
      </c>
      <c r="I55" s="4">
        <v>0.76780000000000004</v>
      </c>
      <c r="J55" s="4">
        <v>50.079700000000003</v>
      </c>
      <c r="K55" s="4">
        <v>14.3927</v>
      </c>
      <c r="M55" s="20"/>
      <c r="N55" s="9" t="s">
        <v>3</v>
      </c>
      <c r="O55" s="33"/>
      <c r="P55" s="34"/>
      <c r="Q55" s="34"/>
      <c r="R55" s="34"/>
      <c r="S55" s="34"/>
      <c r="T55" s="35"/>
    </row>
    <row r="56" spans="2:23" x14ac:dyDescent="0.3">
      <c r="B56" s="20"/>
      <c r="C56" s="2" t="s">
        <v>4</v>
      </c>
      <c r="D56" s="4">
        <v>0.81169999999999998</v>
      </c>
      <c r="E56" s="4">
        <v>0.7036</v>
      </c>
      <c r="F56" s="4">
        <v>0.51639999999999997</v>
      </c>
      <c r="G56" s="4">
        <v>0.77959999999999996</v>
      </c>
      <c r="H56" s="4">
        <v>0.86109999999999998</v>
      </c>
      <c r="I56" s="4">
        <v>0.81169999999999998</v>
      </c>
      <c r="J56" s="4">
        <v>48.025300000000001</v>
      </c>
      <c r="K56" s="4">
        <v>8.3034999999999997</v>
      </c>
      <c r="M56" s="20"/>
      <c r="N56" s="9" t="s">
        <v>4</v>
      </c>
      <c r="O56" s="36"/>
      <c r="P56" s="37"/>
      <c r="Q56" s="37"/>
      <c r="R56" s="37"/>
      <c r="S56" s="37"/>
      <c r="T56" s="38"/>
    </row>
    <row r="57" spans="2:23" x14ac:dyDescent="0.3">
      <c r="D57" s="43">
        <f>AVERAGE(D52:D56)</f>
        <v>0.78598000000000001</v>
      </c>
      <c r="E57" s="43">
        <f t="shared" ref="E57:K57" si="17">AVERAGE(E52:E56)</f>
        <v>0.68379999999999996</v>
      </c>
      <c r="F57" s="43">
        <f t="shared" si="17"/>
        <v>0.53312000000000004</v>
      </c>
      <c r="G57" s="43">
        <f t="shared" si="17"/>
        <v>0.80854000000000004</v>
      </c>
      <c r="H57" s="43">
        <f t="shared" si="17"/>
        <v>0.79278000000000004</v>
      </c>
      <c r="I57" s="43">
        <f t="shared" si="17"/>
        <v>0.78598000000000001</v>
      </c>
      <c r="J57" s="43">
        <f t="shared" si="17"/>
        <v>46.239520000000006</v>
      </c>
      <c r="K57" s="43">
        <f t="shared" si="17"/>
        <v>8.7906999999999993</v>
      </c>
    </row>
  </sheetData>
  <mergeCells count="6">
    <mergeCell ref="O52:T56"/>
    <mergeCell ref="O41:T45"/>
    <mergeCell ref="A4:B4"/>
    <mergeCell ref="A15:B15"/>
    <mergeCell ref="A26:K26"/>
    <mergeCell ref="O18:T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SOTA_results</vt:lpstr>
      <vt:lpstr>Ablations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Chamani Shiranthika Jayakody Kankanamalage</dc:creator>
  <cp:lastModifiedBy>Chamani Shiranthika Jayakody Kankanamalage</cp:lastModifiedBy>
  <dcterms:created xsi:type="dcterms:W3CDTF">2015-06-05T18:17:20Z</dcterms:created>
  <dcterms:modified xsi:type="dcterms:W3CDTF">2026-04-11T20:50:36Z</dcterms:modified>
</cp:coreProperties>
</file>